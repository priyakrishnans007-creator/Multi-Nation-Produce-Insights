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EB7405ADE916BB7D/Documents/"/>
    </mc:Choice>
  </mc:AlternateContent>
  <xr:revisionPtr revIDLastSave="380" documentId="8_{CD041E5E-E553-4153-AD8E-B3E508314522}" xr6:coauthVersionLast="47" xr6:coauthVersionMax="47" xr10:uidLastSave="{8132F21E-3445-4571-91F6-E20D151EA9B3}"/>
  <bookViews>
    <workbookView xWindow="-108" yWindow="-108" windowWidth="23256" windowHeight="12456" firstSheet="1" activeTab="1" xr2:uid="{B999DDFF-91B3-4161-9E00-A1366AD3579B}"/>
  </bookViews>
  <sheets>
    <sheet name="Dashboard" sheetId="3" r:id="rId1"/>
    <sheet name="Data" sheetId="1" r:id="rId2"/>
    <sheet name="Sales by country &amp; category " sheetId="5" r:id="rId3"/>
    <sheet name="Sales by product" sheetId="4" r:id="rId4"/>
    <sheet name="Sales by month" sheetId="6" r:id="rId5"/>
    <sheet name="Sale by category" sheetId="8" r:id="rId6"/>
  </sheets>
  <definedNames>
    <definedName name="Slicer_Country">#N/A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 r="I21" i="1"/>
  <c r="I29" i="1"/>
  <c r="I6" i="1"/>
  <c r="I4" i="1"/>
  <c r="I34" i="1"/>
  <c r="I37" i="1"/>
  <c r="J10" i="1"/>
  <c r="I17" i="1"/>
  <c r="J13" i="1"/>
</calcChain>
</file>

<file path=xl/sharedStrings.xml><?xml version="1.0" encoding="utf-8"?>
<sst xmlns="http://schemas.openxmlformats.org/spreadsheetml/2006/main" count="299" uniqueCount="38">
  <si>
    <t>Category</t>
  </si>
  <si>
    <t>Amount</t>
  </si>
  <si>
    <t>Date</t>
  </si>
  <si>
    <t>Country</t>
  </si>
  <si>
    <t>Fruit</t>
  </si>
  <si>
    <t>Canada</t>
  </si>
  <si>
    <t>Germany</t>
  </si>
  <si>
    <t>United States</t>
  </si>
  <si>
    <t>Vegetables</t>
  </si>
  <si>
    <t>France</t>
  </si>
  <si>
    <t>United Kingdom</t>
  </si>
  <si>
    <t>New Zealand</t>
  </si>
  <si>
    <t>Australia</t>
  </si>
  <si>
    <t>Product</t>
  </si>
  <si>
    <t>Apple</t>
  </si>
  <si>
    <t>Banana</t>
  </si>
  <si>
    <t>Carrots</t>
  </si>
  <si>
    <t>Orange</t>
  </si>
  <si>
    <t>Beans</t>
  </si>
  <si>
    <t>Mango</t>
  </si>
  <si>
    <t>Brocoli</t>
  </si>
  <si>
    <t>Row Labels</t>
  </si>
  <si>
    <t>Grand Total</t>
  </si>
  <si>
    <t>Column Labels</t>
  </si>
  <si>
    <t>Sum of Amount</t>
  </si>
  <si>
    <t>May</t>
  </si>
  <si>
    <t>Jun</t>
  </si>
  <si>
    <t>Jul</t>
  </si>
  <si>
    <t xml:space="preserve">. How do you calculate the total sales for Vegetables in France? </t>
  </si>
  <si>
    <t>Percentage of Banana sales vs total sales</t>
  </si>
  <si>
    <r>
      <t xml:space="preserve">. </t>
    </r>
    <r>
      <rPr>
        <b/>
        <sz val="11"/>
        <color theme="1"/>
        <rFont val="Calibri"/>
        <family val="2"/>
        <scheme val="minor"/>
      </rPr>
      <t>How can you count how many sales occurred in Canada?</t>
    </r>
  </si>
  <si>
    <t>What is the average sale amount for Carrots in France?</t>
  </si>
  <si>
    <t>How many unique countries are listed in the dataset?</t>
  </si>
  <si>
    <t>Find the category of the product “Mango” from the first match</t>
  </si>
  <si>
    <t>Find the country where “Orange” was first sold</t>
  </si>
  <si>
    <t>How many times was Banana sold?</t>
  </si>
  <si>
    <t>Total sales for Apple</t>
  </si>
  <si>
    <t>What is the row number of the first sale in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</si>
</sst>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horizontal="left" vertical="center" indent="1"/>
    </xf>
  </cellXfs>
  <cellStyles count="1">
    <cellStyle name="Normal" xfId="0" builtinId="0"/>
  </cellStyles>
  <dxfs count="3">
    <dxf>
      <numFmt numFmtId="19" formatCode="dd/mm/yyyy"/>
    </dxf>
    <dxf>
      <numFmt numFmtId="164" formatCode="&quot;$&quot;#,##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country &amp; category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 &amp;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27717373869932921"/>
          <c:w val="0.76164807524059497"/>
          <c:h val="0.48688721201516477"/>
        </c:manualLayout>
      </c:layout>
      <c:barChart>
        <c:barDir val="col"/>
        <c:grouping val="clustered"/>
        <c:varyColors val="0"/>
        <c:ser>
          <c:idx val="0"/>
          <c:order val="0"/>
          <c:tx>
            <c:strRef>
              <c:f>'Sales by country &amp; category '!$B$3:$B$4</c:f>
              <c:strCache>
                <c:ptCount val="1"/>
                <c:pt idx="0">
                  <c:v>Fruit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&amp; category '!$A$5:$A$12</c:f>
              <c:strCache>
                <c:ptCount val="7"/>
                <c:pt idx="0">
                  <c:v>Australia</c:v>
                </c:pt>
                <c:pt idx="1">
                  <c:v>Canada</c:v>
                </c:pt>
                <c:pt idx="2">
                  <c:v>France</c:v>
                </c:pt>
                <c:pt idx="3">
                  <c:v>Germany</c:v>
                </c:pt>
                <c:pt idx="4">
                  <c:v>New Zealand</c:v>
                </c:pt>
                <c:pt idx="5">
                  <c:v>United Kingdom</c:v>
                </c:pt>
                <c:pt idx="6">
                  <c:v>United States</c:v>
                </c:pt>
              </c:strCache>
            </c:strRef>
          </c:cat>
          <c:val>
            <c:numRef>
              <c:f>'Sales by country &amp; category '!$B$5:$B$12</c:f>
              <c:numCache>
                <c:formatCode>"$"#,##0</c:formatCode>
                <c:ptCount val="7"/>
                <c:pt idx="0">
                  <c:v>32836</c:v>
                </c:pt>
                <c:pt idx="1">
                  <c:v>26353</c:v>
                </c:pt>
                <c:pt idx="2">
                  <c:v>45904</c:v>
                </c:pt>
                <c:pt idx="3">
                  <c:v>51522</c:v>
                </c:pt>
                <c:pt idx="4">
                  <c:v>10754</c:v>
                </c:pt>
                <c:pt idx="5">
                  <c:v>40186</c:v>
                </c:pt>
                <c:pt idx="6">
                  <c:v>79175</c:v>
                </c:pt>
              </c:numCache>
            </c:numRef>
          </c:val>
          <c:extLst>
            <c:ext xmlns:c16="http://schemas.microsoft.com/office/drawing/2014/chart" uri="{C3380CC4-5D6E-409C-BE32-E72D297353CC}">
              <c16:uniqueId val="{00000000-52DF-4554-A23F-77E8F38F39CF}"/>
            </c:ext>
          </c:extLst>
        </c:ser>
        <c:ser>
          <c:idx val="1"/>
          <c:order val="1"/>
          <c:tx>
            <c:strRef>
              <c:f>'Sales by country &amp; category '!$C$3:$C$4</c:f>
              <c:strCache>
                <c:ptCount val="1"/>
                <c:pt idx="0">
                  <c:v>Vegetables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&amp; category '!$A$5:$A$12</c:f>
              <c:strCache>
                <c:ptCount val="7"/>
                <c:pt idx="0">
                  <c:v>Australia</c:v>
                </c:pt>
                <c:pt idx="1">
                  <c:v>Canada</c:v>
                </c:pt>
                <c:pt idx="2">
                  <c:v>France</c:v>
                </c:pt>
                <c:pt idx="3">
                  <c:v>Germany</c:v>
                </c:pt>
                <c:pt idx="4">
                  <c:v>New Zealand</c:v>
                </c:pt>
                <c:pt idx="5">
                  <c:v>United Kingdom</c:v>
                </c:pt>
                <c:pt idx="6">
                  <c:v>United States</c:v>
                </c:pt>
              </c:strCache>
            </c:strRef>
          </c:cat>
          <c:val>
            <c:numRef>
              <c:f>'Sales by country &amp; category '!$C$5:$C$12</c:f>
              <c:numCache>
                <c:formatCode>"$"#,##0</c:formatCode>
                <c:ptCount val="7"/>
                <c:pt idx="0">
                  <c:v>7602</c:v>
                </c:pt>
                <c:pt idx="1">
                  <c:v>21576</c:v>
                </c:pt>
                <c:pt idx="2">
                  <c:v>16015</c:v>
                </c:pt>
                <c:pt idx="3">
                  <c:v>22182</c:v>
                </c:pt>
                <c:pt idx="4">
                  <c:v>4778</c:v>
                </c:pt>
                <c:pt idx="5">
                  <c:v>5632</c:v>
                </c:pt>
                <c:pt idx="6">
                  <c:v>30149</c:v>
                </c:pt>
              </c:numCache>
            </c:numRef>
          </c:val>
          <c:extLst>
            <c:ext xmlns:c16="http://schemas.microsoft.com/office/drawing/2014/chart" uri="{C3380CC4-5D6E-409C-BE32-E72D297353CC}">
              <c16:uniqueId val="{00000004-52DF-4554-A23F-77E8F38F39CF}"/>
            </c:ext>
          </c:extLst>
        </c:ser>
        <c:dLbls>
          <c:dLblPos val="outEnd"/>
          <c:showLegendKey val="0"/>
          <c:showVal val="1"/>
          <c:showCatName val="0"/>
          <c:showSerName val="0"/>
          <c:showPercent val="0"/>
          <c:showBubbleSize val="0"/>
        </c:dLbls>
        <c:gapWidth val="219"/>
        <c:overlap val="-27"/>
        <c:axId val="1282615583"/>
        <c:axId val="1282627103"/>
      </c:barChart>
      <c:catAx>
        <c:axId val="128261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27103"/>
        <c:crosses val="autoZero"/>
        <c:auto val="1"/>
        <c:lblAlgn val="ctr"/>
        <c:lblOffset val="100"/>
        <c:noMultiLvlLbl val="0"/>
      </c:catAx>
      <c:valAx>
        <c:axId val="1282627103"/>
        <c:scaling>
          <c:orientation val="minMax"/>
        </c:scaling>
        <c:delete val="1"/>
        <c:axPos val="l"/>
        <c:numFmt formatCode="&quot;$&quot;#,##0" sourceLinked="1"/>
        <c:majorTickMark val="none"/>
        <c:minorTickMark val="none"/>
        <c:tickLblPos val="nextTo"/>
        <c:crossAx val="128261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product!PivotTable1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product'!$A$4:$A$11</c:f>
              <c:strCache>
                <c:ptCount val="7"/>
                <c:pt idx="0">
                  <c:v>Beans</c:v>
                </c:pt>
                <c:pt idx="1">
                  <c:v>Mango</c:v>
                </c:pt>
                <c:pt idx="2">
                  <c:v>Orange</c:v>
                </c:pt>
                <c:pt idx="3">
                  <c:v>Brocoli</c:v>
                </c:pt>
                <c:pt idx="4">
                  <c:v>Carrots</c:v>
                </c:pt>
                <c:pt idx="5">
                  <c:v>Apple</c:v>
                </c:pt>
                <c:pt idx="6">
                  <c:v>Banana</c:v>
                </c:pt>
              </c:strCache>
            </c:strRef>
          </c:cat>
          <c:val>
            <c:numRef>
              <c:f>'Sales by product'!$B$4:$B$11</c:f>
              <c:numCache>
                <c:formatCode>"$"#,##0</c:formatCode>
                <c:ptCount val="7"/>
                <c:pt idx="0">
                  <c:v>16895</c:v>
                </c:pt>
                <c:pt idx="1">
                  <c:v>36329</c:v>
                </c:pt>
                <c:pt idx="2">
                  <c:v>37481</c:v>
                </c:pt>
                <c:pt idx="3">
                  <c:v>43800</c:v>
                </c:pt>
                <c:pt idx="4">
                  <c:v>47239</c:v>
                </c:pt>
                <c:pt idx="5">
                  <c:v>83853</c:v>
                </c:pt>
                <c:pt idx="6">
                  <c:v>129067</c:v>
                </c:pt>
              </c:numCache>
            </c:numRef>
          </c:val>
          <c:extLst>
            <c:ext xmlns:c16="http://schemas.microsoft.com/office/drawing/2014/chart" uri="{C3380CC4-5D6E-409C-BE32-E72D297353CC}">
              <c16:uniqueId val="{00000000-7C33-457C-B4E2-00B2E78FF8F6}"/>
            </c:ext>
          </c:extLst>
        </c:ser>
        <c:dLbls>
          <c:showLegendKey val="0"/>
          <c:showVal val="0"/>
          <c:showCatName val="0"/>
          <c:showSerName val="0"/>
          <c:showPercent val="0"/>
          <c:showBubbleSize val="0"/>
        </c:dLbls>
        <c:gapWidth val="219"/>
        <c:overlap val="-27"/>
        <c:axId val="1476179791"/>
        <c:axId val="1476175471"/>
      </c:barChart>
      <c:catAx>
        <c:axId val="14761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75471"/>
        <c:crosses val="autoZero"/>
        <c:auto val="1"/>
        <c:lblAlgn val="ctr"/>
        <c:lblOffset val="100"/>
        <c:noMultiLvlLbl val="0"/>
      </c:catAx>
      <c:valAx>
        <c:axId val="14761754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7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month'!$A$4:$A$7</c:f>
              <c:strCache>
                <c:ptCount val="3"/>
                <c:pt idx="0">
                  <c:v>May</c:v>
                </c:pt>
                <c:pt idx="1">
                  <c:v>Jun</c:v>
                </c:pt>
                <c:pt idx="2">
                  <c:v>Jul</c:v>
                </c:pt>
              </c:strCache>
            </c:strRef>
          </c:cat>
          <c:val>
            <c:numRef>
              <c:f>'Sales by month'!$B$4:$B$7</c:f>
              <c:numCache>
                <c:formatCode>"$"#,##0</c:formatCode>
                <c:ptCount val="3"/>
                <c:pt idx="0">
                  <c:v>67431</c:v>
                </c:pt>
                <c:pt idx="1">
                  <c:v>196394</c:v>
                </c:pt>
                <c:pt idx="2">
                  <c:v>130839</c:v>
                </c:pt>
              </c:numCache>
            </c:numRef>
          </c:val>
          <c:smooth val="0"/>
          <c:extLst>
            <c:ext xmlns:c16="http://schemas.microsoft.com/office/drawing/2014/chart" uri="{C3380CC4-5D6E-409C-BE32-E72D297353CC}">
              <c16:uniqueId val="{00000000-9A35-48F3-A387-6DA88B4BAA7D}"/>
            </c:ext>
          </c:extLst>
        </c:ser>
        <c:dLbls>
          <c:dLblPos val="t"/>
          <c:showLegendKey val="0"/>
          <c:showVal val="1"/>
          <c:showCatName val="0"/>
          <c:showSerName val="0"/>
          <c:showPercent val="0"/>
          <c:showBubbleSize val="0"/>
        </c:dLbls>
        <c:marker val="1"/>
        <c:smooth val="0"/>
        <c:axId val="1544788543"/>
        <c:axId val="1544782783"/>
      </c:lineChart>
      <c:catAx>
        <c:axId val="15447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82783"/>
        <c:crosses val="autoZero"/>
        <c:auto val="1"/>
        <c:lblAlgn val="ctr"/>
        <c:lblOffset val="100"/>
        <c:noMultiLvlLbl val="0"/>
      </c:catAx>
      <c:valAx>
        <c:axId val="1544782783"/>
        <c:scaling>
          <c:orientation val="minMax"/>
        </c:scaling>
        <c:delete val="1"/>
        <c:axPos val="l"/>
        <c:numFmt formatCode="&quot;$&quot;#,##0" sourceLinked="1"/>
        <c:majorTickMark val="none"/>
        <c:minorTickMark val="none"/>
        <c:tickLblPos val="nextTo"/>
        <c:crossAx val="154478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24-4613-AC34-218AEB9DA8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24-4613-AC34-218AEB9DA8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by category'!$A$4:$A$6</c:f>
              <c:strCache>
                <c:ptCount val="2"/>
                <c:pt idx="0">
                  <c:v>Fruit</c:v>
                </c:pt>
                <c:pt idx="1">
                  <c:v>Vegetables</c:v>
                </c:pt>
              </c:strCache>
            </c:strRef>
          </c:cat>
          <c:val>
            <c:numRef>
              <c:f>'Sale by category'!$B$4:$B$6</c:f>
              <c:numCache>
                <c:formatCode>"$"#,##0</c:formatCode>
                <c:ptCount val="2"/>
                <c:pt idx="0">
                  <c:v>286730</c:v>
                </c:pt>
                <c:pt idx="1">
                  <c:v>107934</c:v>
                </c:pt>
              </c:numCache>
            </c:numRef>
          </c:val>
          <c:extLst>
            <c:ext xmlns:c16="http://schemas.microsoft.com/office/drawing/2014/chart" uri="{C3380CC4-5D6E-409C-BE32-E72D297353CC}">
              <c16:uniqueId val="{00000004-7824-4613-AC34-218AEB9DA8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country &amp; category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 &amp;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888888888888889E-2"/>
          <c:y val="0.27717373869932921"/>
          <c:w val="0.76164807524059497"/>
          <c:h val="0.48688721201516477"/>
        </c:manualLayout>
      </c:layout>
      <c:barChart>
        <c:barDir val="col"/>
        <c:grouping val="clustered"/>
        <c:varyColors val="0"/>
        <c:ser>
          <c:idx val="0"/>
          <c:order val="0"/>
          <c:tx>
            <c:strRef>
              <c:f>'Sales by country &amp; category '!$B$3:$B$4</c:f>
              <c:strCache>
                <c:ptCount val="1"/>
                <c:pt idx="0">
                  <c:v>Fruit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&amp; category '!$A$5:$A$12</c:f>
              <c:strCache>
                <c:ptCount val="7"/>
                <c:pt idx="0">
                  <c:v>Australia</c:v>
                </c:pt>
                <c:pt idx="1">
                  <c:v>Canada</c:v>
                </c:pt>
                <c:pt idx="2">
                  <c:v>France</c:v>
                </c:pt>
                <c:pt idx="3">
                  <c:v>Germany</c:v>
                </c:pt>
                <c:pt idx="4">
                  <c:v>New Zealand</c:v>
                </c:pt>
                <c:pt idx="5">
                  <c:v>United Kingdom</c:v>
                </c:pt>
                <c:pt idx="6">
                  <c:v>United States</c:v>
                </c:pt>
              </c:strCache>
            </c:strRef>
          </c:cat>
          <c:val>
            <c:numRef>
              <c:f>'Sales by country &amp; category '!$B$5:$B$12</c:f>
              <c:numCache>
                <c:formatCode>"$"#,##0</c:formatCode>
                <c:ptCount val="7"/>
                <c:pt idx="0">
                  <c:v>32836</c:v>
                </c:pt>
                <c:pt idx="1">
                  <c:v>26353</c:v>
                </c:pt>
                <c:pt idx="2">
                  <c:v>45904</c:v>
                </c:pt>
                <c:pt idx="3">
                  <c:v>51522</c:v>
                </c:pt>
                <c:pt idx="4">
                  <c:v>10754</c:v>
                </c:pt>
                <c:pt idx="5">
                  <c:v>40186</c:v>
                </c:pt>
                <c:pt idx="6">
                  <c:v>79175</c:v>
                </c:pt>
              </c:numCache>
            </c:numRef>
          </c:val>
          <c:extLst>
            <c:ext xmlns:c16="http://schemas.microsoft.com/office/drawing/2014/chart" uri="{C3380CC4-5D6E-409C-BE32-E72D297353CC}">
              <c16:uniqueId val="{00000000-F111-462D-9A99-EF05941F91AC}"/>
            </c:ext>
          </c:extLst>
        </c:ser>
        <c:ser>
          <c:idx val="1"/>
          <c:order val="1"/>
          <c:tx>
            <c:strRef>
              <c:f>'Sales by country &amp; category '!$C$3:$C$4</c:f>
              <c:strCache>
                <c:ptCount val="1"/>
                <c:pt idx="0">
                  <c:v>Vegetables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 &amp; category '!$A$5:$A$12</c:f>
              <c:strCache>
                <c:ptCount val="7"/>
                <c:pt idx="0">
                  <c:v>Australia</c:v>
                </c:pt>
                <c:pt idx="1">
                  <c:v>Canada</c:v>
                </c:pt>
                <c:pt idx="2">
                  <c:v>France</c:v>
                </c:pt>
                <c:pt idx="3">
                  <c:v>Germany</c:v>
                </c:pt>
                <c:pt idx="4">
                  <c:v>New Zealand</c:v>
                </c:pt>
                <c:pt idx="5">
                  <c:v>United Kingdom</c:v>
                </c:pt>
                <c:pt idx="6">
                  <c:v>United States</c:v>
                </c:pt>
              </c:strCache>
            </c:strRef>
          </c:cat>
          <c:val>
            <c:numRef>
              <c:f>'Sales by country &amp; category '!$C$5:$C$12</c:f>
              <c:numCache>
                <c:formatCode>"$"#,##0</c:formatCode>
                <c:ptCount val="7"/>
                <c:pt idx="0">
                  <c:v>7602</c:v>
                </c:pt>
                <c:pt idx="1">
                  <c:v>21576</c:v>
                </c:pt>
                <c:pt idx="2">
                  <c:v>16015</c:v>
                </c:pt>
                <c:pt idx="3">
                  <c:v>22182</c:v>
                </c:pt>
                <c:pt idx="4">
                  <c:v>4778</c:v>
                </c:pt>
                <c:pt idx="5">
                  <c:v>5632</c:v>
                </c:pt>
                <c:pt idx="6">
                  <c:v>30149</c:v>
                </c:pt>
              </c:numCache>
            </c:numRef>
          </c:val>
          <c:extLst>
            <c:ext xmlns:c16="http://schemas.microsoft.com/office/drawing/2014/chart" uri="{C3380CC4-5D6E-409C-BE32-E72D297353CC}">
              <c16:uniqueId val="{00000004-F111-462D-9A99-EF05941F91AC}"/>
            </c:ext>
          </c:extLst>
        </c:ser>
        <c:dLbls>
          <c:dLblPos val="outEnd"/>
          <c:showLegendKey val="0"/>
          <c:showVal val="1"/>
          <c:showCatName val="0"/>
          <c:showSerName val="0"/>
          <c:showPercent val="0"/>
          <c:showBubbleSize val="0"/>
        </c:dLbls>
        <c:gapWidth val="219"/>
        <c:overlap val="-27"/>
        <c:axId val="1282615583"/>
        <c:axId val="1282627103"/>
      </c:barChart>
      <c:catAx>
        <c:axId val="128261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627103"/>
        <c:crosses val="autoZero"/>
        <c:auto val="1"/>
        <c:lblAlgn val="ctr"/>
        <c:lblOffset val="100"/>
        <c:noMultiLvlLbl val="0"/>
      </c:catAx>
      <c:valAx>
        <c:axId val="1282627103"/>
        <c:scaling>
          <c:orientation val="minMax"/>
        </c:scaling>
        <c:delete val="1"/>
        <c:axPos val="l"/>
        <c:numFmt formatCode="&quot;$&quot;#,##0" sourceLinked="1"/>
        <c:majorTickMark val="none"/>
        <c:minorTickMark val="none"/>
        <c:tickLblPos val="nextTo"/>
        <c:crossAx val="128261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product!PivotTable1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product'!$A$4:$A$11</c:f>
              <c:strCache>
                <c:ptCount val="7"/>
                <c:pt idx="0">
                  <c:v>Beans</c:v>
                </c:pt>
                <c:pt idx="1">
                  <c:v>Mango</c:v>
                </c:pt>
                <c:pt idx="2">
                  <c:v>Orange</c:v>
                </c:pt>
                <c:pt idx="3">
                  <c:v>Brocoli</c:v>
                </c:pt>
                <c:pt idx="4">
                  <c:v>Carrots</c:v>
                </c:pt>
                <c:pt idx="5">
                  <c:v>Apple</c:v>
                </c:pt>
                <c:pt idx="6">
                  <c:v>Banana</c:v>
                </c:pt>
              </c:strCache>
            </c:strRef>
          </c:cat>
          <c:val>
            <c:numRef>
              <c:f>'Sales by product'!$B$4:$B$11</c:f>
              <c:numCache>
                <c:formatCode>"$"#,##0</c:formatCode>
                <c:ptCount val="7"/>
                <c:pt idx="0">
                  <c:v>16895</c:v>
                </c:pt>
                <c:pt idx="1">
                  <c:v>36329</c:v>
                </c:pt>
                <c:pt idx="2">
                  <c:v>37481</c:v>
                </c:pt>
                <c:pt idx="3">
                  <c:v>43800</c:v>
                </c:pt>
                <c:pt idx="4">
                  <c:v>47239</c:v>
                </c:pt>
                <c:pt idx="5">
                  <c:v>83853</c:v>
                </c:pt>
                <c:pt idx="6">
                  <c:v>129067</c:v>
                </c:pt>
              </c:numCache>
            </c:numRef>
          </c:val>
          <c:extLst>
            <c:ext xmlns:c16="http://schemas.microsoft.com/office/drawing/2014/chart" uri="{C3380CC4-5D6E-409C-BE32-E72D297353CC}">
              <c16:uniqueId val="{00000000-41DD-4417-B472-B26DB6DBF372}"/>
            </c:ext>
          </c:extLst>
        </c:ser>
        <c:dLbls>
          <c:showLegendKey val="0"/>
          <c:showVal val="0"/>
          <c:showCatName val="0"/>
          <c:showSerName val="0"/>
          <c:showPercent val="0"/>
          <c:showBubbleSize val="0"/>
        </c:dLbls>
        <c:gapWidth val="219"/>
        <c:overlap val="-27"/>
        <c:axId val="1476179791"/>
        <c:axId val="1476175471"/>
      </c:barChart>
      <c:catAx>
        <c:axId val="14761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75471"/>
        <c:crosses val="autoZero"/>
        <c:auto val="1"/>
        <c:lblAlgn val="ctr"/>
        <c:lblOffset val="100"/>
        <c:noMultiLvlLbl val="0"/>
      </c:catAx>
      <c:valAx>
        <c:axId val="14761754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7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Insights.xlsx]Sales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month'!$A$4:$A$7</c:f>
              <c:strCache>
                <c:ptCount val="3"/>
                <c:pt idx="0">
                  <c:v>May</c:v>
                </c:pt>
                <c:pt idx="1">
                  <c:v>Jun</c:v>
                </c:pt>
                <c:pt idx="2">
                  <c:v>Jul</c:v>
                </c:pt>
              </c:strCache>
            </c:strRef>
          </c:cat>
          <c:val>
            <c:numRef>
              <c:f>'Sales by month'!$B$4:$B$7</c:f>
              <c:numCache>
                <c:formatCode>"$"#,##0</c:formatCode>
                <c:ptCount val="3"/>
                <c:pt idx="0">
                  <c:v>67431</c:v>
                </c:pt>
                <c:pt idx="1">
                  <c:v>196394</c:v>
                </c:pt>
                <c:pt idx="2">
                  <c:v>130839</c:v>
                </c:pt>
              </c:numCache>
            </c:numRef>
          </c:val>
          <c:smooth val="0"/>
          <c:extLst>
            <c:ext xmlns:c16="http://schemas.microsoft.com/office/drawing/2014/chart" uri="{C3380CC4-5D6E-409C-BE32-E72D297353CC}">
              <c16:uniqueId val="{00000000-7C4C-46DC-A828-24253EC2381E}"/>
            </c:ext>
          </c:extLst>
        </c:ser>
        <c:dLbls>
          <c:dLblPos val="t"/>
          <c:showLegendKey val="0"/>
          <c:showVal val="1"/>
          <c:showCatName val="0"/>
          <c:showSerName val="0"/>
          <c:showPercent val="0"/>
          <c:showBubbleSize val="0"/>
        </c:dLbls>
        <c:marker val="1"/>
        <c:smooth val="0"/>
        <c:axId val="1544788543"/>
        <c:axId val="1544782783"/>
      </c:lineChart>
      <c:catAx>
        <c:axId val="15447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82783"/>
        <c:crosses val="autoZero"/>
        <c:auto val="1"/>
        <c:lblAlgn val="ctr"/>
        <c:lblOffset val="100"/>
        <c:noMultiLvlLbl val="0"/>
      </c:catAx>
      <c:valAx>
        <c:axId val="1544782783"/>
        <c:scaling>
          <c:orientation val="minMax"/>
        </c:scaling>
        <c:delete val="1"/>
        <c:axPos val="l"/>
        <c:numFmt formatCode="&quot;$&quot;#,##0" sourceLinked="1"/>
        <c:majorTickMark val="none"/>
        <c:minorTickMark val="none"/>
        <c:tickLblPos val="nextTo"/>
        <c:crossAx val="154478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[Multi-Nation Produce Insights.xlsx]Sale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A8-4960-B713-2D8EBD7CF6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A8-4960-B713-2D8EBD7CF6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by category'!$A$4:$A$6</c:f>
              <c:strCache>
                <c:ptCount val="2"/>
                <c:pt idx="0">
                  <c:v>Fruit</c:v>
                </c:pt>
                <c:pt idx="1">
                  <c:v>Vegetables</c:v>
                </c:pt>
              </c:strCache>
            </c:strRef>
          </c:cat>
          <c:val>
            <c:numRef>
              <c:f>'Sale by category'!$B$4:$B$6</c:f>
              <c:numCache>
                <c:formatCode>"$"#,##0</c:formatCode>
                <c:ptCount val="2"/>
                <c:pt idx="0">
                  <c:v>286730</c:v>
                </c:pt>
                <c:pt idx="1">
                  <c:v>107934</c:v>
                </c:pt>
              </c:numCache>
            </c:numRef>
          </c:val>
          <c:extLst>
            <c:ext xmlns:c16="http://schemas.microsoft.com/office/drawing/2014/chart" uri="{C3380CC4-5D6E-409C-BE32-E72D297353CC}">
              <c16:uniqueId val="{00000000-74CA-4871-BA63-9976EBDA2C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175260</xdr:colOff>
      <xdr:row>3</xdr:row>
      <xdr:rowOff>53340</xdr:rowOff>
    </xdr:from>
    <xdr:to>
      <xdr:col>5</xdr:col>
      <xdr:colOff>601980</xdr:colOff>
      <xdr:row>20</xdr:row>
      <xdr:rowOff>0</xdr:rowOff>
    </xdr:to>
    <xdr:graphicFrame macro="">
      <xdr:nvGraphicFramePr>
        <xdr:cNvPr id="2" name="Chart 1">
          <a:extLst>
            <a:ext uri="{FF2B5EF4-FFF2-40B4-BE49-F238E27FC236}">
              <a16:creationId xmlns:a16="http://schemas.microsoft.com/office/drawing/2014/main" id="{660D5613-E90A-4F83-BB56-32ED8EEDC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3</xdr:row>
      <xdr:rowOff>7620</xdr:rowOff>
    </xdr:from>
    <xdr:to>
      <xdr:col>13</xdr:col>
      <xdr:colOff>457200</xdr:colOff>
      <xdr:row>18</xdr:row>
      <xdr:rowOff>7620</xdr:rowOff>
    </xdr:to>
    <xdr:graphicFrame macro="">
      <xdr:nvGraphicFramePr>
        <xdr:cNvPr id="3" name="Chart 2">
          <a:extLst>
            <a:ext uri="{FF2B5EF4-FFF2-40B4-BE49-F238E27FC236}">
              <a16:creationId xmlns:a16="http://schemas.microsoft.com/office/drawing/2014/main" id="{47F367EF-B07D-44E4-B274-5409E8DD1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129540</xdr:colOff>
      <xdr:row>18</xdr:row>
      <xdr:rowOff>99060</xdr:rowOff>
    </xdr:from>
    <xdr:to>
      <xdr:col>13</xdr:col>
      <xdr:colOff>434340</xdr:colOff>
      <xdr:row>33</xdr:row>
      <xdr:rowOff>99060</xdr:rowOff>
    </xdr:to>
    <xdr:graphicFrame macro="">
      <xdr:nvGraphicFramePr>
        <xdr:cNvPr id="4" name="Chart 3">
          <a:extLst>
            <a:ext uri="{FF2B5EF4-FFF2-40B4-BE49-F238E27FC236}">
              <a16:creationId xmlns:a16="http://schemas.microsoft.com/office/drawing/2014/main" id="{D0F638A2-CB24-42D0-BC9F-B8575CF07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571500</xdr:colOff>
      <xdr:row>3</xdr:row>
      <xdr:rowOff>76200</xdr:rowOff>
    </xdr:from>
    <xdr:to>
      <xdr:col>19</xdr:col>
      <xdr:colOff>266700</xdr:colOff>
      <xdr:row>18</xdr:row>
      <xdr:rowOff>60960</xdr:rowOff>
    </xdr:to>
    <xdr:graphicFrame macro="">
      <xdr:nvGraphicFramePr>
        <xdr:cNvPr id="5" name="Chart 4">
          <a:extLst>
            <a:ext uri="{FF2B5EF4-FFF2-40B4-BE49-F238E27FC236}">
              <a16:creationId xmlns:a16="http://schemas.microsoft.com/office/drawing/2014/main" id="{8AAD44C2-6B27-4A06-8EDD-42FA308FE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236220</xdr:colOff>
      <xdr:row>18</xdr:row>
      <xdr:rowOff>60960</xdr:rowOff>
    </xdr:from>
    <xdr:to>
      <xdr:col>17</xdr:col>
      <xdr:colOff>236220</xdr:colOff>
      <xdr:row>31</xdr:row>
      <xdr:rowOff>150495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556B9640-17EA-C509-9874-CDBED73285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70620" y="3352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594360</xdr:colOff>
      <xdr:row>18</xdr:row>
      <xdr:rowOff>7620</xdr:rowOff>
    </xdr:from>
    <xdr:to>
      <xdr:col>20</xdr:col>
      <xdr:colOff>594360</xdr:colOff>
      <xdr:row>31</xdr:row>
      <xdr:rowOff>97155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A3EF237B-3758-A9BF-8B1F-2DF7834528F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57560" y="3299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297180</xdr:colOff>
      <xdr:row>1</xdr:row>
      <xdr:rowOff>118110</xdr:rowOff>
    </xdr:from>
    <xdr:to>
      <xdr:col>11</xdr:col>
      <xdr:colOff>601980</xdr:colOff>
      <xdr:row>16</xdr:row>
      <xdr:rowOff>118110</xdr:rowOff>
    </xdr:to>
    <xdr:graphicFrame macro="">
      <xdr:nvGraphicFramePr>
        <xdr:cNvPr id="2" name="Chart 1">
          <a:extLst>
            <a:ext uri="{FF2B5EF4-FFF2-40B4-BE49-F238E27FC236}">
              <a16:creationId xmlns:a16="http://schemas.microsoft.com/office/drawing/2014/main" id="{E8B1B524-504F-4379-5B0E-288A6A491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1</xdr:row>
      <xdr:rowOff>171450</xdr:rowOff>
    </xdr:from>
    <xdr:to>
      <xdr:col>10</xdr:col>
      <xdr:colOff>167640</xdr:colOff>
      <xdr:row>16</xdr:row>
      <xdr:rowOff>171450</xdr:rowOff>
    </xdr:to>
    <xdr:graphicFrame macro="">
      <xdr:nvGraphicFramePr>
        <xdr:cNvPr id="2" name="Chart 1">
          <a:extLst>
            <a:ext uri="{FF2B5EF4-FFF2-40B4-BE49-F238E27FC236}">
              <a16:creationId xmlns:a16="http://schemas.microsoft.com/office/drawing/2014/main" id="{5F793DFE-E947-697F-1E7D-F12756813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0E4D7509-BAC1-120D-FC26-6DBEECB3F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7</xdr:row>
      <xdr:rowOff>148590</xdr:rowOff>
    </xdr:from>
    <xdr:to>
      <xdr:col>11</xdr:col>
      <xdr:colOff>365760</xdr:colOff>
      <xdr:row>22</xdr:row>
      <xdr:rowOff>148590</xdr:rowOff>
    </xdr:to>
    <xdr:graphicFrame macro="">
      <xdr:nvGraphicFramePr>
        <xdr:cNvPr id="2" name="Chart 1">
          <a:extLst>
            <a:ext uri="{FF2B5EF4-FFF2-40B4-BE49-F238E27FC236}">
              <a16:creationId xmlns:a16="http://schemas.microsoft.com/office/drawing/2014/main" id="{21D05EEE-3310-2159-D217-5294629B0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ooj" refreshedDate="45967.990063194447" createdVersion="8" refreshedVersion="8" minRefreshableVersion="3" recordCount="83" xr:uid="{84808E6E-42EB-4C53-BCD8-E3DD3EE81B89}">
  <cacheSource type="worksheet">
    <worksheetSource name="Table1"/>
  </cacheSource>
  <cacheFields count="6">
    <cacheField name="Product" numFmtId="0">
      <sharedItems count="7">
        <s v="Apple"/>
        <s v="Banana"/>
        <s v="Brocoli"/>
        <s v="Carrots"/>
        <s v="Orange"/>
        <s v="Beans"/>
        <s v="Mango"/>
      </sharedItems>
    </cacheField>
    <cacheField name="Category" numFmtId="0">
      <sharedItems count="2">
        <s v="Fruit"/>
        <s v="Vegetables"/>
      </sharedItems>
    </cacheField>
    <cacheField name="Amount" numFmtId="164">
      <sharedItems containsSemiMixedTypes="0" containsString="0" containsNumber="1" containsInteger="1" minValue="135" maxValue="9543"/>
    </cacheField>
    <cacheField name="Date" numFmtId="14">
      <sharedItems containsSemiMixedTypes="0" containsNonDate="0" containsDate="1" containsString="0" minDate="2016-05-28T00:00:00" maxDate="2018-07-21T00:00:00" count="54">
        <d v="2018-05-28T00:00:00"/>
        <d v="2018-05-29T00:00:00"/>
        <d v="2018-05-30T00:00:00"/>
        <d v="2018-06-04T00:00:00"/>
        <d v="2018-06-10T00:00:00"/>
        <d v="2018-06-11T00:00:00"/>
        <d v="2018-06-20T00:00:00"/>
        <d v="2018-06-23T00:00:00"/>
        <d v="2018-06-25T00:00:00"/>
        <d v="2018-06-26T00:00:00"/>
        <d v="2018-06-27T00:00:00"/>
        <d v="2018-07-02T00:00:00"/>
        <d v="2018-07-05T00:00:00"/>
        <d v="2018-07-07T00:00:00"/>
        <d v="2016-07-11T00:00:00"/>
        <d v="2016-07-13T00:00:00"/>
        <d v="2016-07-20T00:00:00"/>
        <d v="2016-07-22T00:00:00"/>
        <d v="2016-07-23T00:00:00"/>
        <d v="2016-07-25T00:00:00"/>
        <d v="2016-07-28T00:00:00"/>
        <d v="2016-05-28T00:00:00"/>
        <d v="2016-05-29T00:00:00"/>
        <d v="2016-05-30T00:00:00"/>
        <d v="2016-06-04T00:00:00"/>
        <d v="2016-06-10T00:00:00"/>
        <d v="2016-06-11T00:00:00"/>
        <d v="2016-06-20T00:00:00"/>
        <d v="2017-06-20T00:00:00"/>
        <d v="2016-06-23T00:00:00"/>
        <d v="2016-06-25T00:00:00"/>
        <d v="2016-06-26T00:00:00"/>
        <d v="2016-06-27T00:00:00"/>
        <d v="2016-07-02T00:00:00"/>
        <d v="2016-07-05T00:00:00"/>
        <d v="2016-07-07T00:00:00"/>
        <d v="2018-07-20T00:00:00"/>
        <d v="2018-05-31T00:00:00"/>
        <d v="2018-06-01T00:00:00"/>
        <d v="2018-06-02T00:00:00"/>
        <d v="2018-06-03T00:00:00"/>
        <d v="2018-06-05T00:00:00"/>
        <d v="2018-06-06T00:00:00"/>
        <d v="2018-06-07T00:00:00"/>
        <d v="2018-06-08T00:00:00"/>
        <d v="2018-06-09T00:00:00"/>
        <d v="2018-06-12T00:00:00"/>
        <d v="2018-06-13T00:00:00"/>
        <d v="2018-06-14T00:00:00"/>
        <d v="2018-06-15T00:00:00"/>
        <d v="2018-06-16T00:00:00"/>
        <d v="2018-06-17T00:00:00"/>
        <d v="2018-06-18T00:00:00"/>
        <d v="2018-06-19T00:00:00"/>
      </sharedItems>
      <fieldGroup par="5"/>
    </cacheField>
    <cacheField name="Country" numFmtId="0">
      <sharedItems count="7">
        <s v="Canada"/>
        <s v="Germany"/>
        <s v="United States"/>
        <s v="France"/>
        <s v="United Kingdom"/>
        <s v="New Zealand"/>
        <s v="Australia"/>
      </sharedItems>
    </cacheField>
    <cacheField name="Months (Date)" numFmtId="0" databaseField="0">
      <fieldGroup base="3">
        <rangePr groupBy="months" startDate="2016-05-28T00:00:00" endDate="2018-07-21T00:00:00"/>
        <groupItems count="14">
          <s v="&lt;28-05-2016"/>
          <s v="Jan"/>
          <s v="Feb"/>
          <s v="Mar"/>
          <s v="Apr"/>
          <s v="May"/>
          <s v="Jun"/>
          <s v="Jul"/>
          <s v="Aug"/>
          <s v="Sep"/>
          <s v="Oct"/>
          <s v="Nov"/>
          <s v="Dec"/>
          <s v="&gt;21-07-2018"/>
        </groupItems>
      </fieldGroup>
    </cacheField>
  </cacheFields>
  <extLst>
    <ext xmlns:x14="http://schemas.microsoft.com/office/spreadsheetml/2009/9/main" uri="{725AE2AE-9491-48be-B2B4-4EB974FC3084}">
      <x14:pivotCacheDefinition pivotCacheId="680518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n v="2824"/>
    <x v="0"/>
    <x v="0"/>
  </r>
  <r>
    <x v="0"/>
    <x v="0"/>
    <n v="6946"/>
    <x v="0"/>
    <x v="1"/>
  </r>
  <r>
    <x v="1"/>
    <x v="0"/>
    <n v="2320"/>
    <x v="0"/>
    <x v="2"/>
  </r>
  <r>
    <x v="2"/>
    <x v="1"/>
    <n v="2116"/>
    <x v="1"/>
    <x v="1"/>
  </r>
  <r>
    <x v="3"/>
    <x v="1"/>
    <n v="1135"/>
    <x v="2"/>
    <x v="0"/>
  </r>
  <r>
    <x v="2"/>
    <x v="1"/>
    <n v="3595"/>
    <x v="3"/>
    <x v="3"/>
  </r>
  <r>
    <x v="0"/>
    <x v="0"/>
    <n v="1161"/>
    <x v="3"/>
    <x v="4"/>
  </r>
  <r>
    <x v="1"/>
    <x v="0"/>
    <n v="2256"/>
    <x v="4"/>
    <x v="2"/>
  </r>
  <r>
    <x v="1"/>
    <x v="0"/>
    <n v="1004"/>
    <x v="5"/>
    <x v="4"/>
  </r>
  <r>
    <x v="1"/>
    <x v="0"/>
    <n v="3642"/>
    <x v="6"/>
    <x v="4"/>
  </r>
  <r>
    <x v="2"/>
    <x v="1"/>
    <n v="4582"/>
    <x v="6"/>
    <x v="2"/>
  </r>
  <r>
    <x v="0"/>
    <x v="0"/>
    <n v="3559"/>
    <x v="7"/>
    <x v="3"/>
  </r>
  <r>
    <x v="4"/>
    <x v="0"/>
    <n v="5154"/>
    <x v="8"/>
    <x v="5"/>
  </r>
  <r>
    <x v="1"/>
    <x v="0"/>
    <n v="7388"/>
    <x v="9"/>
    <x v="0"/>
  </r>
  <r>
    <x v="1"/>
    <x v="0"/>
    <n v="7163"/>
    <x v="10"/>
    <x v="2"/>
  </r>
  <r>
    <x v="1"/>
    <x v="0"/>
    <n v="5101"/>
    <x v="11"/>
    <x v="4"/>
  </r>
  <r>
    <x v="5"/>
    <x v="1"/>
    <n v="7602"/>
    <x v="11"/>
    <x v="6"/>
  </r>
  <r>
    <x v="3"/>
    <x v="1"/>
    <n v="1641"/>
    <x v="12"/>
    <x v="3"/>
  </r>
  <r>
    <x v="6"/>
    <x v="0"/>
    <n v="8892"/>
    <x v="13"/>
    <x v="2"/>
  </r>
  <r>
    <x v="5"/>
    <x v="1"/>
    <n v="2060"/>
    <x v="14"/>
    <x v="1"/>
  </r>
  <r>
    <x v="5"/>
    <x v="1"/>
    <n v="1557"/>
    <x v="15"/>
    <x v="3"/>
  </r>
  <r>
    <x v="0"/>
    <x v="0"/>
    <n v="6509"/>
    <x v="16"/>
    <x v="2"/>
  </r>
  <r>
    <x v="6"/>
    <x v="0"/>
    <n v="5718"/>
    <x v="16"/>
    <x v="6"/>
  </r>
  <r>
    <x v="0"/>
    <x v="0"/>
    <n v="7655"/>
    <x v="16"/>
    <x v="3"/>
  </r>
  <r>
    <x v="0"/>
    <x v="0"/>
    <n v="9116"/>
    <x v="16"/>
    <x v="1"/>
  </r>
  <r>
    <x v="2"/>
    <x v="1"/>
    <n v="2795"/>
    <x v="17"/>
    <x v="3"/>
  </r>
  <r>
    <x v="0"/>
    <x v="0"/>
    <n v="5084"/>
    <x v="18"/>
    <x v="6"/>
  </r>
  <r>
    <x v="0"/>
    <x v="0"/>
    <n v="8941"/>
    <x v="19"/>
    <x v="2"/>
  </r>
  <r>
    <x v="0"/>
    <x v="0"/>
    <n v="5341"/>
    <x v="20"/>
    <x v="4"/>
  </r>
  <r>
    <x v="3"/>
    <x v="1"/>
    <n v="135"/>
    <x v="21"/>
    <x v="2"/>
  </r>
  <r>
    <x v="1"/>
    <x v="0"/>
    <n v="9400"/>
    <x v="21"/>
    <x v="2"/>
  </r>
  <r>
    <x v="1"/>
    <x v="0"/>
    <n v="6045"/>
    <x v="21"/>
    <x v="4"/>
  </r>
  <r>
    <x v="3"/>
    <x v="1"/>
    <n v="5820"/>
    <x v="22"/>
    <x v="3"/>
  </r>
  <r>
    <x v="2"/>
    <x v="1"/>
    <n v="8887"/>
    <x v="23"/>
    <x v="0"/>
  </r>
  <r>
    <x v="1"/>
    <x v="0"/>
    <n v="6982"/>
    <x v="24"/>
    <x v="6"/>
  </r>
  <r>
    <x v="1"/>
    <x v="0"/>
    <n v="4029"/>
    <x v="24"/>
    <x v="1"/>
  </r>
  <r>
    <x v="5"/>
    <x v="1"/>
    <n v="3665"/>
    <x v="25"/>
    <x v="5"/>
  </r>
  <r>
    <x v="0"/>
    <x v="0"/>
    <n v="4781"/>
    <x v="26"/>
    <x v="1"/>
  </r>
  <r>
    <x v="4"/>
    <x v="0"/>
    <n v="3663"/>
    <x v="27"/>
    <x v="2"/>
  </r>
  <r>
    <x v="4"/>
    <x v="0"/>
    <n v="6331"/>
    <x v="28"/>
    <x v="6"/>
  </r>
  <r>
    <x v="1"/>
    <x v="0"/>
    <n v="4364"/>
    <x v="29"/>
    <x v="1"/>
  </r>
  <r>
    <x v="3"/>
    <x v="1"/>
    <n v="607"/>
    <x v="30"/>
    <x v="3"/>
  </r>
  <r>
    <x v="1"/>
    <x v="0"/>
    <n v="1054"/>
    <x v="31"/>
    <x v="6"/>
  </r>
  <r>
    <x v="6"/>
    <x v="0"/>
    <n v="7659"/>
    <x v="32"/>
    <x v="3"/>
  </r>
  <r>
    <x v="0"/>
    <x v="0"/>
    <n v="277"/>
    <x v="11"/>
    <x v="0"/>
  </r>
  <r>
    <x v="0"/>
    <x v="0"/>
    <n v="235"/>
    <x v="33"/>
    <x v="4"/>
  </r>
  <r>
    <x v="3"/>
    <x v="1"/>
    <n v="1113"/>
    <x v="34"/>
    <x v="5"/>
  </r>
  <r>
    <x v="1"/>
    <x v="0"/>
    <n v="1128"/>
    <x v="35"/>
    <x v="2"/>
  </r>
  <r>
    <x v="3"/>
    <x v="1"/>
    <n v="9231"/>
    <x v="14"/>
    <x v="1"/>
  </r>
  <r>
    <x v="2"/>
    <x v="1"/>
    <n v="4387"/>
    <x v="15"/>
    <x v="2"/>
  </r>
  <r>
    <x v="1"/>
    <x v="0"/>
    <n v="2763"/>
    <x v="16"/>
    <x v="6"/>
  </r>
  <r>
    <x v="4"/>
    <x v="0"/>
    <n v="7898"/>
    <x v="36"/>
    <x v="2"/>
  </r>
  <r>
    <x v="0"/>
    <x v="0"/>
    <n v="2427"/>
    <x v="36"/>
    <x v="0"/>
  </r>
  <r>
    <x v="2"/>
    <x v="1"/>
    <n v="8663"/>
    <x v="36"/>
    <x v="2"/>
  </r>
  <r>
    <x v="1"/>
    <x v="0"/>
    <n v="2789"/>
    <x v="17"/>
    <x v="0"/>
  </r>
  <r>
    <x v="0"/>
    <x v="0"/>
    <n v="4054"/>
    <x v="18"/>
    <x v="4"/>
  </r>
  <r>
    <x v="1"/>
    <x v="0"/>
    <n v="2262"/>
    <x v="19"/>
    <x v="3"/>
  </r>
  <r>
    <x v="1"/>
    <x v="0"/>
    <n v="5600"/>
    <x v="20"/>
    <x v="5"/>
  </r>
  <r>
    <x v="1"/>
    <x v="0"/>
    <n v="5787"/>
    <x v="21"/>
    <x v="1"/>
  </r>
  <r>
    <x v="3"/>
    <x v="1"/>
    <n v="6295"/>
    <x v="21"/>
    <x v="2"/>
  </r>
  <r>
    <x v="1"/>
    <x v="0"/>
    <n v="474"/>
    <x v="0"/>
    <x v="2"/>
  </r>
  <r>
    <x v="6"/>
    <x v="0"/>
    <n v="4325"/>
    <x v="1"/>
    <x v="4"/>
  </r>
  <r>
    <x v="6"/>
    <x v="0"/>
    <n v="592"/>
    <x v="2"/>
    <x v="2"/>
  </r>
  <r>
    <x v="1"/>
    <x v="0"/>
    <n v="4330"/>
    <x v="37"/>
    <x v="0"/>
  </r>
  <r>
    <x v="4"/>
    <x v="0"/>
    <n v="9405"/>
    <x v="38"/>
    <x v="1"/>
  </r>
  <r>
    <x v="1"/>
    <x v="0"/>
    <n v="7671"/>
    <x v="39"/>
    <x v="3"/>
  </r>
  <r>
    <x v="0"/>
    <x v="0"/>
    <n v="5791"/>
    <x v="40"/>
    <x v="2"/>
  </r>
  <r>
    <x v="1"/>
    <x v="0"/>
    <n v="6007"/>
    <x v="3"/>
    <x v="2"/>
  </r>
  <r>
    <x v="4"/>
    <x v="0"/>
    <n v="5030"/>
    <x v="41"/>
    <x v="4"/>
  </r>
  <r>
    <x v="1"/>
    <x v="0"/>
    <n v="6763"/>
    <x v="42"/>
    <x v="3"/>
  </r>
  <r>
    <x v="0"/>
    <x v="0"/>
    <n v="4248"/>
    <x v="43"/>
    <x v="4"/>
  </r>
  <r>
    <x v="3"/>
    <x v="1"/>
    <n v="9543"/>
    <x v="44"/>
    <x v="0"/>
  </r>
  <r>
    <x v="1"/>
    <x v="0"/>
    <n v="2054"/>
    <x v="45"/>
    <x v="0"/>
  </r>
  <r>
    <x v="1"/>
    <x v="0"/>
    <n v="7094"/>
    <x v="4"/>
    <x v="1"/>
  </r>
  <r>
    <x v="3"/>
    <x v="1"/>
    <n v="6087"/>
    <x v="5"/>
    <x v="2"/>
  </r>
  <r>
    <x v="1"/>
    <x v="0"/>
    <n v="4264"/>
    <x v="46"/>
    <x v="0"/>
  </r>
  <r>
    <x v="1"/>
    <x v="0"/>
    <n v="9333"/>
    <x v="47"/>
    <x v="3"/>
  </r>
  <r>
    <x v="2"/>
    <x v="1"/>
    <n v="8775"/>
    <x v="48"/>
    <x v="1"/>
  </r>
  <r>
    <x v="5"/>
    <x v="1"/>
    <n v="2011"/>
    <x v="49"/>
    <x v="0"/>
  </r>
  <r>
    <x v="3"/>
    <x v="1"/>
    <n v="5632"/>
    <x v="50"/>
    <x v="4"/>
  </r>
  <r>
    <x v="0"/>
    <x v="0"/>
    <n v="4904"/>
    <x v="51"/>
    <x v="6"/>
  </r>
  <r>
    <x v="6"/>
    <x v="0"/>
    <n v="1002"/>
    <x v="52"/>
    <x v="3"/>
  </r>
  <r>
    <x v="6"/>
    <x v="0"/>
    <n v="8141"/>
    <x v="5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7AE3EF-FEF3-4A34-AE18-DE9F310387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2" firstHeaderRow="1" firstDataRow="2" firstDataCol="1"/>
  <pivotFields count="6">
    <pivotField showAll="0">
      <items count="8">
        <item x="0"/>
        <item x="1"/>
        <item x="5"/>
        <item x="2"/>
        <item x="3"/>
        <item x="6"/>
        <item x="4"/>
        <item t="default"/>
      </items>
    </pivotField>
    <pivotField axis="axisCol" showAll="0">
      <items count="3">
        <item x="0"/>
        <item x="1"/>
        <item t="default"/>
      </items>
    </pivotField>
    <pivotField dataField="1" numFmtId="164" showAll="0"/>
    <pivotField numFmtId="14"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axis="axisRow" showAll="0">
      <items count="8">
        <item x="6"/>
        <item x="0"/>
        <item x="3"/>
        <item x="1"/>
        <item x="5"/>
        <item x="4"/>
        <item x="2"/>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Fields count="1">
    <field x="1"/>
  </colFields>
  <colItems count="3">
    <i>
      <x/>
    </i>
    <i>
      <x v="1"/>
    </i>
    <i t="grand">
      <x/>
    </i>
  </colItems>
  <dataFields count="1">
    <dataField name="Sum of Amount" fld="2" baseField="0" baseItem="0" numFmtId="164"/>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69542-D6A6-4188-8FE8-C5420B417F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6">
    <pivotField axis="axisRow" showAll="0" sortType="ascending">
      <items count="8">
        <item x="0"/>
        <item x="1"/>
        <item x="5"/>
        <item x="2"/>
        <item x="3"/>
        <item x="6"/>
        <item x="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4"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x="3"/>
        <item x="1"/>
        <item x="5"/>
        <item x="4"/>
        <item x="2"/>
        <item t="default"/>
      </items>
    </pivotField>
    <pivotField showAll="0">
      <items count="15">
        <item x="0"/>
        <item x="1"/>
        <item x="2"/>
        <item x="3"/>
        <item x="4"/>
        <item x="5"/>
        <item x="6"/>
        <item x="7"/>
        <item x="8"/>
        <item x="9"/>
        <item x="10"/>
        <item x="11"/>
        <item x="12"/>
        <item x="13"/>
        <item t="default"/>
      </items>
    </pivotField>
  </pivotFields>
  <rowFields count="1">
    <field x="0"/>
  </rowFields>
  <rowItems count="8">
    <i>
      <x v="2"/>
    </i>
    <i>
      <x v="5"/>
    </i>
    <i>
      <x v="6"/>
    </i>
    <i>
      <x v="3"/>
    </i>
    <i>
      <x v="4"/>
    </i>
    <i>
      <x/>
    </i>
    <i>
      <x v="1"/>
    </i>
    <i t="grand">
      <x/>
    </i>
  </rowItems>
  <colItems count="1">
    <i/>
  </colItems>
  <dataFields count="1">
    <dataField name="Sum of Amount" fld="2"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4733D5-CE47-44BE-8198-B7D4FB2762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6">
    <pivotField showAll="0">
      <items count="8">
        <item x="0"/>
        <item x="1"/>
        <item x="5"/>
        <item x="2"/>
        <item x="3"/>
        <item x="6"/>
        <item x="4"/>
        <item t="default"/>
      </items>
    </pivotField>
    <pivotField showAll="0"/>
    <pivotField dataField="1" numFmtId="164" showAll="0"/>
    <pivotField numFmtId="14"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x="3"/>
        <item x="1"/>
        <item x="5"/>
        <item x="4"/>
        <item x="2"/>
        <item t="default"/>
      </items>
    </pivotField>
    <pivotField axis="axisRow" showAll="0">
      <items count="15">
        <item x="0"/>
        <item x="1"/>
        <item x="2"/>
        <item x="3"/>
        <item x="4"/>
        <item x="5"/>
        <item x="6"/>
        <item x="7"/>
        <item x="8"/>
        <item x="9"/>
        <item x="10"/>
        <item x="11"/>
        <item x="12"/>
        <item x="13"/>
        <item t="default"/>
      </items>
    </pivotField>
  </pivotFields>
  <rowFields count="1">
    <field x="5"/>
  </rowFields>
  <rowItems count="4">
    <i>
      <x v="5"/>
    </i>
    <i>
      <x v="6"/>
    </i>
    <i>
      <x v="7"/>
    </i>
    <i t="grand">
      <x/>
    </i>
  </rowItems>
  <colItems count="1">
    <i/>
  </colItems>
  <dataFields count="1">
    <dataField name="Sum of Amount" fld="2"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6533D-0815-43BF-B0AB-F7728FBE1A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6">
    <pivotField showAll="0">
      <items count="8">
        <item x="0"/>
        <item x="1"/>
        <item x="5"/>
        <item x="2"/>
        <item x="3"/>
        <item x="6"/>
        <item x="4"/>
        <item t="default"/>
      </items>
    </pivotField>
    <pivotField axis="axisRow" showAll="0">
      <items count="3">
        <item x="0"/>
        <item x="1"/>
        <item t="default"/>
      </items>
    </pivotField>
    <pivotField dataField="1" numFmtId="164" showAll="0"/>
    <pivotField numFmtId="14" showAll="0">
      <items count="55">
        <item x="21"/>
        <item x="22"/>
        <item x="23"/>
        <item x="24"/>
        <item x="25"/>
        <item x="26"/>
        <item x="27"/>
        <item x="29"/>
        <item x="30"/>
        <item x="31"/>
        <item x="32"/>
        <item x="33"/>
        <item x="34"/>
        <item x="35"/>
        <item x="14"/>
        <item x="15"/>
        <item x="16"/>
        <item x="17"/>
        <item x="18"/>
        <item x="19"/>
        <item x="20"/>
        <item x="28"/>
        <item x="0"/>
        <item x="1"/>
        <item x="2"/>
        <item x="37"/>
        <item x="38"/>
        <item x="39"/>
        <item x="40"/>
        <item x="3"/>
        <item x="41"/>
        <item x="42"/>
        <item x="43"/>
        <item x="44"/>
        <item x="45"/>
        <item x="4"/>
        <item x="5"/>
        <item x="46"/>
        <item x="47"/>
        <item x="48"/>
        <item x="49"/>
        <item x="50"/>
        <item x="51"/>
        <item x="52"/>
        <item x="53"/>
        <item x="6"/>
        <item x="7"/>
        <item x="8"/>
        <item x="9"/>
        <item x="10"/>
        <item x="11"/>
        <item x="12"/>
        <item x="13"/>
        <item x="36"/>
        <item t="default"/>
      </items>
    </pivotField>
    <pivotField showAll="0">
      <items count="8">
        <item x="6"/>
        <item x="0"/>
        <item x="3"/>
        <item x="1"/>
        <item x="5"/>
        <item x="4"/>
        <item x="2"/>
        <item t="default"/>
      </items>
    </pivotField>
    <pivotField showAll="0" defaultSubtotal="0">
      <items count="14">
        <item x="0"/>
        <item x="1"/>
        <item x="2"/>
        <item x="3"/>
        <item x="4"/>
        <item x="5"/>
        <item x="6"/>
        <item x="7"/>
        <item x="8"/>
        <item x="9"/>
        <item x="10"/>
        <item x="11"/>
        <item x="12"/>
        <item x="13"/>
      </items>
    </pivotField>
  </pivotFields>
  <rowFields count="1">
    <field x="1"/>
  </rowFields>
  <rowItems count="3">
    <i>
      <x/>
    </i>
    <i>
      <x v="1"/>
    </i>
    <i t="grand">
      <x/>
    </i>
  </rowItems>
  <colItems count="1">
    <i/>
  </colItems>
  <dataFields count="1">
    <dataField name="Sum of Amount" fld="2" baseField="0" baseItem="0" numFmtId="164"/>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7FE36E1-7F45-40A0-B4F9-6CD959B05281}" sourceName="Product">
  <pivotTables>
    <pivotTable tabId="5" name="PivotTable1"/>
    <pivotTable tabId="6" name="PivotTable1"/>
    <pivotTable tabId="4" name="PivotTable1"/>
    <pivotTable tabId="8" name="PivotTable1"/>
  </pivotTables>
  <data>
    <tabular pivotCacheId="680518047">
      <items count="7">
        <i x="0" s="1"/>
        <i x="1" s="1"/>
        <i x="5" s="1"/>
        <i x="2" s="1"/>
        <i x="3"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7843171-B3B5-4CB1-B745-5DC4D38CAC81}" sourceName="Country">
  <pivotTables>
    <pivotTable tabId="5" name="PivotTable1"/>
    <pivotTable tabId="6" name="PivotTable1"/>
    <pivotTable tabId="4" name="PivotTable1"/>
    <pivotTable tabId="8" name="PivotTable1"/>
  </pivotTables>
  <data>
    <tabular pivotCacheId="680518047">
      <items count="7">
        <i x="6" s="1"/>
        <i x="0" s="1"/>
        <i x="3" s="1"/>
        <i x="1" s="1"/>
        <i x="5"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3BE652B-6305-459E-A65A-C6057779B09D}" cache="Slicer_Product" caption="Product" rowHeight="234950"/>
  <slicer name="Country" xr10:uid="{D27465A8-6C15-4F29-BC35-6DEACC740DB9}"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F5DF8-AB9F-4716-8647-CD2D42E83788}" name="Table1" displayName="Table1" ref="A1:E84" totalsRowShown="0" headerRowDxfId="2">
  <autoFilter ref="A1:E84" xr:uid="{994F5DF8-AB9F-4716-8647-CD2D42E83788}"/>
  <tableColumns count="5">
    <tableColumn id="1" xr3:uid="{C8AC95C7-43D6-43B7-8029-63163346673E}" name="Product"/>
    <tableColumn id="2" xr3:uid="{AD11AA23-BD8A-477D-A97D-A7208E5F0BB5}" name="Category"/>
    <tableColumn id="3" xr3:uid="{4ABE61DE-7EFE-4FCA-8FC2-A0E859663895}" name="Amount" dataDxfId="1"/>
    <tableColumn id="4" xr3:uid="{069B654E-2B88-41F1-A3B2-2F86B3DBCF5D}" name="Date" dataDxfId="0"/>
    <tableColumn id="5" xr3:uid="{7A7A958E-F70A-455F-A2D6-331B4B8DC10D}" name="Countr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2E36-3A15-4096-BFB1-687B17927378}">
  <dimension ref="A1"/>
  <sheetViews>
    <sheetView topLeftCell="A11" workbookViewId="0">
      <selection activeCell="C30" sqref="C3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8A4D-39B0-45C2-8941-C2EF2A206386}">
  <dimension ref="A1:P118"/>
  <sheetViews>
    <sheetView tabSelected="1" topLeftCell="A11" zoomScale="91" zoomScaleNormal="198" workbookViewId="0">
      <selection activeCell="K20" sqref="K20"/>
    </sheetView>
  </sheetViews>
  <sheetFormatPr defaultRowHeight="14.4"/>
  <cols>
    <col min="1" max="1" width="19.88671875" customWidth="1"/>
    <col min="2" max="2" width="14.21875" customWidth="1"/>
    <col min="3" max="3" width="9.5546875" customWidth="1"/>
    <col min="4" max="4" width="16.21875" customWidth="1"/>
    <col min="5" max="5" width="14" bestFit="1" customWidth="1"/>
    <col min="9" max="9" width="14.109375" bestFit="1" customWidth="1"/>
  </cols>
  <sheetData>
    <row r="1" spans="1:16">
      <c r="A1" s="1" t="s">
        <v>13</v>
      </c>
      <c r="B1" s="1" t="s">
        <v>0</v>
      </c>
      <c r="C1" s="1" t="s">
        <v>1</v>
      </c>
      <c r="D1" s="1" t="s">
        <v>2</v>
      </c>
      <c r="E1" s="1" t="s">
        <v>3</v>
      </c>
    </row>
    <row r="2" spans="1:16">
      <c r="A2" t="s">
        <v>14</v>
      </c>
      <c r="B2" t="s">
        <v>4</v>
      </c>
      <c r="C2" s="2">
        <v>2824</v>
      </c>
      <c r="D2" s="3">
        <v>43248</v>
      </c>
      <c r="E2" t="s">
        <v>5</v>
      </c>
    </row>
    <row r="3" spans="1:16">
      <c r="A3" t="s">
        <v>14</v>
      </c>
      <c r="B3" t="s">
        <v>4</v>
      </c>
      <c r="C3" s="2">
        <v>6946</v>
      </c>
      <c r="D3" s="3">
        <v>43248</v>
      </c>
      <c r="E3" t="s">
        <v>6</v>
      </c>
      <c r="H3">
        <v>1</v>
      </c>
      <c r="I3" t="s">
        <v>35</v>
      </c>
    </row>
    <row r="4" spans="1:16">
      <c r="A4" t="s">
        <v>15</v>
      </c>
      <c r="B4" t="s">
        <v>4</v>
      </c>
      <c r="C4" s="2">
        <v>2320</v>
      </c>
      <c r="D4" s="3">
        <v>43248</v>
      </c>
      <c r="E4" t="s">
        <v>7</v>
      </c>
      <c r="I4">
        <f xml:space="preserve"> COUNTIF(A2:A84,"Banana")</f>
        <v>28</v>
      </c>
    </row>
    <row r="5" spans="1:16">
      <c r="A5" t="s">
        <v>20</v>
      </c>
      <c r="B5" t="s">
        <v>8</v>
      </c>
      <c r="C5" s="2">
        <v>2116</v>
      </c>
      <c r="D5" s="3">
        <v>43249</v>
      </c>
      <c r="E5" t="s">
        <v>6</v>
      </c>
      <c r="H5">
        <v>2</v>
      </c>
      <c r="I5" s="1" t="s">
        <v>36</v>
      </c>
      <c r="P5" s="6"/>
    </row>
    <row r="6" spans="1:16">
      <c r="A6" t="s">
        <v>16</v>
      </c>
      <c r="B6" t="s">
        <v>8</v>
      </c>
      <c r="C6" s="2">
        <v>1135</v>
      </c>
      <c r="D6" s="3">
        <v>43250</v>
      </c>
      <c r="E6" t="s">
        <v>5</v>
      </c>
      <c r="I6" s="6">
        <f>SUMIF(A2:A84,"Apple",C2:C84)</f>
        <v>83853</v>
      </c>
      <c r="P6" s="7"/>
    </row>
    <row r="7" spans="1:16">
      <c r="A7" t="s">
        <v>20</v>
      </c>
      <c r="B7" t="s">
        <v>8</v>
      </c>
      <c r="C7" s="2">
        <v>3595</v>
      </c>
      <c r="D7" s="3">
        <v>43255</v>
      </c>
      <c r="E7" t="s">
        <v>9</v>
      </c>
      <c r="I7" s="6"/>
      <c r="J7" s="2"/>
    </row>
    <row r="8" spans="1:16">
      <c r="A8" t="s">
        <v>14</v>
      </c>
      <c r="B8" t="s">
        <v>4</v>
      </c>
      <c r="C8" s="2">
        <v>1161</v>
      </c>
      <c r="D8" s="3">
        <v>43255</v>
      </c>
      <c r="E8" t="s">
        <v>10</v>
      </c>
    </row>
    <row r="9" spans="1:16">
      <c r="A9" t="s">
        <v>15</v>
      </c>
      <c r="B9" t="s">
        <v>4</v>
      </c>
      <c r="C9" s="2">
        <v>2256</v>
      </c>
      <c r="D9" s="3">
        <v>43261</v>
      </c>
      <c r="E9" t="s">
        <v>7</v>
      </c>
      <c r="H9">
        <v>3</v>
      </c>
      <c r="I9" t="s">
        <v>28</v>
      </c>
      <c r="P9" s="1"/>
    </row>
    <row r="10" spans="1:16">
      <c r="A10" t="s">
        <v>15</v>
      </c>
      <c r="B10" t="s">
        <v>4</v>
      </c>
      <c r="C10" s="2">
        <v>1004</v>
      </c>
      <c r="D10" s="3">
        <v>43262</v>
      </c>
      <c r="E10" t="s">
        <v>10</v>
      </c>
      <c r="J10">
        <f>SUMIFS(C2:C84, B2:B84, "Vegetables", E2:E84, "France")</f>
        <v>16015</v>
      </c>
      <c r="P10" s="6"/>
    </row>
    <row r="11" spans="1:16">
      <c r="A11" t="s">
        <v>15</v>
      </c>
      <c r="B11" t="s">
        <v>4</v>
      </c>
      <c r="C11" s="2">
        <v>3642</v>
      </c>
      <c r="D11" s="3">
        <v>43271</v>
      </c>
      <c r="E11" t="s">
        <v>10</v>
      </c>
      <c r="P11" s="7"/>
    </row>
    <row r="12" spans="1:16">
      <c r="A12" t="s">
        <v>20</v>
      </c>
      <c r="B12" t="s">
        <v>8</v>
      </c>
      <c r="C12" s="2">
        <v>4582</v>
      </c>
      <c r="D12" s="3">
        <v>43271</v>
      </c>
      <c r="E12" t="s">
        <v>7</v>
      </c>
      <c r="H12">
        <v>4</v>
      </c>
      <c r="I12" t="s">
        <v>29</v>
      </c>
      <c r="P12" s="7"/>
    </row>
    <row r="13" spans="1:16">
      <c r="A13" t="s">
        <v>14</v>
      </c>
      <c r="B13" t="s">
        <v>4</v>
      </c>
      <c r="C13" s="2">
        <v>3559</v>
      </c>
      <c r="D13" s="3">
        <v>43274</v>
      </c>
      <c r="E13" t="s">
        <v>9</v>
      </c>
      <c r="J13">
        <f>SUMIF(A2:A84,"Banana", C2:C84) / SUM(C2:C84)</f>
        <v>0.32703008128433303</v>
      </c>
    </row>
    <row r="14" spans="1:16">
      <c r="A14" t="s">
        <v>17</v>
      </c>
      <c r="B14" t="s">
        <v>4</v>
      </c>
      <c r="C14" s="2">
        <v>5154</v>
      </c>
      <c r="D14" s="3">
        <v>43276</v>
      </c>
      <c r="E14" t="s">
        <v>11</v>
      </c>
    </row>
    <row r="15" spans="1:16">
      <c r="A15" t="s">
        <v>15</v>
      </c>
      <c r="B15" t="s">
        <v>4</v>
      </c>
      <c r="C15" s="2">
        <v>7388</v>
      </c>
      <c r="D15" s="3">
        <v>43277</v>
      </c>
      <c r="E15" t="s">
        <v>5</v>
      </c>
      <c r="H15">
        <v>5</v>
      </c>
      <c r="I15" t="s">
        <v>30</v>
      </c>
      <c r="P15" s="1"/>
    </row>
    <row r="16" spans="1:16">
      <c r="A16" t="s">
        <v>15</v>
      </c>
      <c r="B16" t="s">
        <v>4</v>
      </c>
      <c r="C16" s="2">
        <v>7163</v>
      </c>
      <c r="D16" s="3">
        <v>43278</v>
      </c>
      <c r="E16" t="s">
        <v>7</v>
      </c>
      <c r="I16" s="6"/>
      <c r="P16" s="6"/>
    </row>
    <row r="17" spans="1:16">
      <c r="A17" t="s">
        <v>15</v>
      </c>
      <c r="B17" t="s">
        <v>4</v>
      </c>
      <c r="C17" s="2">
        <v>5101</v>
      </c>
      <c r="D17" s="3">
        <v>43283</v>
      </c>
      <c r="E17" t="s">
        <v>10</v>
      </c>
      <c r="I17" s="7">
        <f>COUNTIF(E2:E84,"Canada")</f>
        <v>12</v>
      </c>
      <c r="P17" s="7"/>
    </row>
    <row r="18" spans="1:16">
      <c r="A18" t="s">
        <v>18</v>
      </c>
      <c r="B18" t="s">
        <v>8</v>
      </c>
      <c r="C18" s="2">
        <v>7602</v>
      </c>
      <c r="D18" s="3">
        <v>43283</v>
      </c>
      <c r="E18" t="s">
        <v>12</v>
      </c>
      <c r="P18" s="7"/>
    </row>
    <row r="19" spans="1:16">
      <c r="A19" t="s">
        <v>16</v>
      </c>
      <c r="B19" t="s">
        <v>8</v>
      </c>
      <c r="C19" s="2">
        <v>1641</v>
      </c>
      <c r="D19" s="3">
        <v>43286</v>
      </c>
      <c r="E19" t="s">
        <v>9</v>
      </c>
      <c r="H19">
        <v>6</v>
      </c>
      <c r="I19" s="1" t="s">
        <v>31</v>
      </c>
    </row>
    <row r="20" spans="1:16">
      <c r="A20" t="s">
        <v>19</v>
      </c>
      <c r="B20" t="s">
        <v>4</v>
      </c>
      <c r="C20" s="2">
        <v>8892</v>
      </c>
      <c r="D20" s="3">
        <v>43288</v>
      </c>
      <c r="E20" t="s">
        <v>7</v>
      </c>
      <c r="I20" s="6"/>
      <c r="P20" s="1"/>
    </row>
    <row r="21" spans="1:16">
      <c r="A21" t="s">
        <v>18</v>
      </c>
      <c r="B21" t="s">
        <v>8</v>
      </c>
      <c r="C21" s="2">
        <v>2060</v>
      </c>
      <c r="D21" s="3">
        <v>42562</v>
      </c>
      <c r="E21" t="s">
        <v>6</v>
      </c>
      <c r="I21" s="7">
        <f>AVERAGEIFS(C2:C84,A2:A84,"Carrots",E2:E84,"France")</f>
        <v>2689.3333333333335</v>
      </c>
      <c r="P21" s="6"/>
    </row>
    <row r="22" spans="1:16">
      <c r="A22" t="s">
        <v>18</v>
      </c>
      <c r="B22" t="s">
        <v>8</v>
      </c>
      <c r="C22" s="2">
        <v>1557</v>
      </c>
      <c r="D22" s="3">
        <v>42564</v>
      </c>
      <c r="E22" t="s">
        <v>9</v>
      </c>
      <c r="P22" s="7"/>
    </row>
    <row r="23" spans="1:16">
      <c r="A23" t="s">
        <v>14</v>
      </c>
      <c r="B23" t="s">
        <v>4</v>
      </c>
      <c r="C23" s="2">
        <v>6509</v>
      </c>
      <c r="D23" s="3">
        <v>42571</v>
      </c>
      <c r="E23" t="s">
        <v>7</v>
      </c>
      <c r="H23">
        <v>7</v>
      </c>
      <c r="I23" t="s">
        <v>37</v>
      </c>
      <c r="P23" s="7"/>
    </row>
    <row r="24" spans="1:16">
      <c r="A24" t="s">
        <v>19</v>
      </c>
      <c r="B24" t="s">
        <v>4</v>
      </c>
      <c r="C24" s="2">
        <v>5718</v>
      </c>
      <c r="D24" s="3">
        <v>42571</v>
      </c>
      <c r="E24" t="s">
        <v>12</v>
      </c>
      <c r="I24" s="6">
        <f>MATCH("France",E2:E84,0)</f>
        <v>6</v>
      </c>
    </row>
    <row r="25" spans="1:16">
      <c r="A25" t="s">
        <v>14</v>
      </c>
      <c r="B25" t="s">
        <v>4</v>
      </c>
      <c r="C25" s="2">
        <v>7655</v>
      </c>
      <c r="D25" s="3">
        <v>42571</v>
      </c>
      <c r="E25" t="s">
        <v>9</v>
      </c>
      <c r="I25" s="7"/>
    </row>
    <row r="26" spans="1:16">
      <c r="A26" t="s">
        <v>14</v>
      </c>
      <c r="B26" t="s">
        <v>4</v>
      </c>
      <c r="C26" s="2">
        <v>9116</v>
      </c>
      <c r="D26" s="3">
        <v>42571</v>
      </c>
      <c r="E26" t="s">
        <v>6</v>
      </c>
    </row>
    <row r="27" spans="1:16">
      <c r="A27" t="s">
        <v>20</v>
      </c>
      <c r="B27" t="s">
        <v>8</v>
      </c>
      <c r="C27" s="2">
        <v>2795</v>
      </c>
      <c r="D27" s="3">
        <v>42573</v>
      </c>
      <c r="E27" t="s">
        <v>9</v>
      </c>
      <c r="H27">
        <v>8</v>
      </c>
      <c r="I27" s="1" t="s">
        <v>32</v>
      </c>
    </row>
    <row r="28" spans="1:16">
      <c r="A28" t="s">
        <v>14</v>
      </c>
      <c r="B28" t="s">
        <v>4</v>
      </c>
      <c r="C28" s="2">
        <v>5084</v>
      </c>
      <c r="D28" s="3">
        <v>42574</v>
      </c>
      <c r="E28" t="s">
        <v>12</v>
      </c>
      <c r="I28" s="6"/>
    </row>
    <row r="29" spans="1:16">
      <c r="A29" t="s">
        <v>14</v>
      </c>
      <c r="B29" t="s">
        <v>4</v>
      </c>
      <c r="C29" s="2">
        <v>8941</v>
      </c>
      <c r="D29" s="3">
        <v>42576</v>
      </c>
      <c r="E29" t="s">
        <v>7</v>
      </c>
      <c r="I29" s="7">
        <f>COUNTA(_xlfn.UNIQUE(E2:E84))</f>
        <v>7</v>
      </c>
    </row>
    <row r="30" spans="1:16">
      <c r="A30" t="s">
        <v>14</v>
      </c>
      <c r="B30" t="s">
        <v>4</v>
      </c>
      <c r="C30" s="2">
        <v>5341</v>
      </c>
      <c r="D30" s="3">
        <v>42579</v>
      </c>
      <c r="E30" t="s">
        <v>10</v>
      </c>
      <c r="I30" s="1"/>
    </row>
    <row r="31" spans="1:16">
      <c r="A31" t="s">
        <v>16</v>
      </c>
      <c r="B31" t="s">
        <v>8</v>
      </c>
      <c r="C31" s="2">
        <v>135</v>
      </c>
      <c r="D31" s="3">
        <v>42518</v>
      </c>
      <c r="E31" t="s">
        <v>7</v>
      </c>
      <c r="I31" s="1"/>
    </row>
    <row r="32" spans="1:16" ht="15.6" customHeight="1">
      <c r="A32" t="s">
        <v>15</v>
      </c>
      <c r="B32" t="s">
        <v>4</v>
      </c>
      <c r="C32" s="2">
        <v>9400</v>
      </c>
      <c r="D32" s="3">
        <v>42518</v>
      </c>
      <c r="E32" t="s">
        <v>7</v>
      </c>
      <c r="I32" s="6"/>
    </row>
    <row r="33" spans="1:9">
      <c r="A33" t="s">
        <v>15</v>
      </c>
      <c r="B33" t="s">
        <v>4</v>
      </c>
      <c r="C33" s="2">
        <v>6045</v>
      </c>
      <c r="D33" s="3">
        <v>42518</v>
      </c>
      <c r="E33" t="s">
        <v>10</v>
      </c>
      <c r="H33">
        <v>9</v>
      </c>
      <c r="I33" s="1" t="s">
        <v>34</v>
      </c>
    </row>
    <row r="34" spans="1:9">
      <c r="A34" t="s">
        <v>16</v>
      </c>
      <c r="B34" t="s">
        <v>8</v>
      </c>
      <c r="C34" s="2">
        <v>5820</v>
      </c>
      <c r="D34" s="3">
        <v>42519</v>
      </c>
      <c r="E34" t="s">
        <v>9</v>
      </c>
      <c r="I34" s="8" t="str">
        <f>VLOOKUP("Orange",A2:E84,5,FALSE)</f>
        <v>New Zealand</v>
      </c>
    </row>
    <row r="35" spans="1:9">
      <c r="A35" t="s">
        <v>20</v>
      </c>
      <c r="B35" t="s">
        <v>8</v>
      </c>
      <c r="C35" s="2">
        <v>8887</v>
      </c>
      <c r="D35" s="3">
        <v>42520</v>
      </c>
      <c r="E35" t="s">
        <v>5</v>
      </c>
      <c r="I35" s="6"/>
    </row>
    <row r="36" spans="1:9">
      <c r="A36" t="s">
        <v>15</v>
      </c>
      <c r="B36" t="s">
        <v>4</v>
      </c>
      <c r="C36" s="2">
        <v>6982</v>
      </c>
      <c r="D36" s="3">
        <v>42525</v>
      </c>
      <c r="E36" t="s">
        <v>12</v>
      </c>
      <c r="H36">
        <v>10</v>
      </c>
      <c r="I36" s="1" t="s">
        <v>33</v>
      </c>
    </row>
    <row r="37" spans="1:9">
      <c r="A37" t="s">
        <v>15</v>
      </c>
      <c r="B37" t="s">
        <v>4</v>
      </c>
      <c r="C37" s="2">
        <v>4029</v>
      </c>
      <c r="D37" s="3">
        <v>42525</v>
      </c>
      <c r="E37" t="s">
        <v>6</v>
      </c>
      <c r="I37" s="8" t="str">
        <f>VLOOKUP("Mango",A2:E84,2,FALSE)</f>
        <v>Fruit</v>
      </c>
    </row>
    <row r="38" spans="1:9">
      <c r="A38" t="s">
        <v>18</v>
      </c>
      <c r="B38" t="s">
        <v>8</v>
      </c>
      <c r="C38" s="2">
        <v>3665</v>
      </c>
      <c r="D38" s="3">
        <v>42531</v>
      </c>
      <c r="E38" t="s">
        <v>11</v>
      </c>
      <c r="I38" s="6"/>
    </row>
    <row r="39" spans="1:9">
      <c r="A39" t="s">
        <v>14</v>
      </c>
      <c r="B39" t="s">
        <v>4</v>
      </c>
      <c r="C39" s="2">
        <v>4781</v>
      </c>
      <c r="D39" s="3">
        <v>42532</v>
      </c>
      <c r="E39" t="s">
        <v>6</v>
      </c>
      <c r="I39" s="7"/>
    </row>
    <row r="40" spans="1:9">
      <c r="A40" t="s">
        <v>17</v>
      </c>
      <c r="B40" t="s">
        <v>4</v>
      </c>
      <c r="C40" s="2">
        <v>3663</v>
      </c>
      <c r="D40" s="3">
        <v>42541</v>
      </c>
      <c r="E40" t="s">
        <v>7</v>
      </c>
    </row>
    <row r="41" spans="1:9">
      <c r="A41" t="s">
        <v>17</v>
      </c>
      <c r="B41" t="s">
        <v>4</v>
      </c>
      <c r="C41" s="2">
        <v>6331</v>
      </c>
      <c r="D41" s="3">
        <v>42906</v>
      </c>
      <c r="E41" t="s">
        <v>12</v>
      </c>
    </row>
    <row r="42" spans="1:9">
      <c r="A42" t="s">
        <v>15</v>
      </c>
      <c r="B42" t="s">
        <v>4</v>
      </c>
      <c r="C42" s="2">
        <v>4364</v>
      </c>
      <c r="D42" s="3">
        <v>42544</v>
      </c>
      <c r="E42" t="s">
        <v>6</v>
      </c>
    </row>
    <row r="43" spans="1:9">
      <c r="A43" t="s">
        <v>16</v>
      </c>
      <c r="B43" t="s">
        <v>8</v>
      </c>
      <c r="C43" s="2">
        <v>607</v>
      </c>
      <c r="D43" s="3">
        <v>42546</v>
      </c>
      <c r="E43" t="s">
        <v>9</v>
      </c>
    </row>
    <row r="44" spans="1:9">
      <c r="A44" t="s">
        <v>15</v>
      </c>
      <c r="B44" t="s">
        <v>4</v>
      </c>
      <c r="C44" s="2">
        <v>1054</v>
      </c>
      <c r="D44" s="3">
        <v>42547</v>
      </c>
      <c r="E44" t="s">
        <v>12</v>
      </c>
    </row>
    <row r="45" spans="1:9">
      <c r="A45" t="s">
        <v>19</v>
      </c>
      <c r="B45" t="s">
        <v>4</v>
      </c>
      <c r="C45" s="2">
        <v>7659</v>
      </c>
      <c r="D45" s="3">
        <v>42548</v>
      </c>
      <c r="E45" t="s">
        <v>9</v>
      </c>
    </row>
    <row r="46" spans="1:9">
      <c r="A46" t="s">
        <v>14</v>
      </c>
      <c r="B46" t="s">
        <v>4</v>
      </c>
      <c r="C46" s="2">
        <v>277</v>
      </c>
      <c r="D46" s="3">
        <v>43283</v>
      </c>
      <c r="E46" t="s">
        <v>5</v>
      </c>
    </row>
    <row r="47" spans="1:9">
      <c r="A47" t="s">
        <v>14</v>
      </c>
      <c r="B47" t="s">
        <v>4</v>
      </c>
      <c r="C47" s="2">
        <v>235</v>
      </c>
      <c r="D47" s="3">
        <v>42553</v>
      </c>
      <c r="E47" t="s">
        <v>10</v>
      </c>
    </row>
    <row r="48" spans="1:9">
      <c r="A48" t="s">
        <v>16</v>
      </c>
      <c r="B48" t="s">
        <v>8</v>
      </c>
      <c r="C48" s="2">
        <v>1113</v>
      </c>
      <c r="D48" s="3">
        <v>42556</v>
      </c>
      <c r="E48" t="s">
        <v>11</v>
      </c>
    </row>
    <row r="49" spans="1:5">
      <c r="A49" t="s">
        <v>15</v>
      </c>
      <c r="B49" t="s">
        <v>4</v>
      </c>
      <c r="C49" s="2">
        <v>1128</v>
      </c>
      <c r="D49" s="3">
        <v>42558</v>
      </c>
      <c r="E49" t="s">
        <v>7</v>
      </c>
    </row>
    <row r="50" spans="1:5">
      <c r="A50" t="s">
        <v>16</v>
      </c>
      <c r="B50" t="s">
        <v>8</v>
      </c>
      <c r="C50" s="2">
        <v>9231</v>
      </c>
      <c r="D50" s="3">
        <v>42562</v>
      </c>
      <c r="E50" t="s">
        <v>6</v>
      </c>
    </row>
    <row r="51" spans="1:5">
      <c r="A51" t="s">
        <v>20</v>
      </c>
      <c r="B51" t="s">
        <v>8</v>
      </c>
      <c r="C51" s="2">
        <v>4387</v>
      </c>
      <c r="D51" s="3">
        <v>42564</v>
      </c>
      <c r="E51" t="s">
        <v>7</v>
      </c>
    </row>
    <row r="52" spans="1:5">
      <c r="A52" t="s">
        <v>15</v>
      </c>
      <c r="B52" t="s">
        <v>4</v>
      </c>
      <c r="C52" s="2">
        <v>2763</v>
      </c>
      <c r="D52" s="3">
        <v>42571</v>
      </c>
      <c r="E52" t="s">
        <v>12</v>
      </c>
    </row>
    <row r="53" spans="1:5">
      <c r="A53" t="s">
        <v>17</v>
      </c>
      <c r="B53" t="s">
        <v>4</v>
      </c>
      <c r="C53" s="2">
        <v>7898</v>
      </c>
      <c r="D53" s="3">
        <v>43301</v>
      </c>
      <c r="E53" t="s">
        <v>7</v>
      </c>
    </row>
    <row r="54" spans="1:5">
      <c r="A54" t="s">
        <v>14</v>
      </c>
      <c r="B54" t="s">
        <v>4</v>
      </c>
      <c r="C54" s="2">
        <v>2427</v>
      </c>
      <c r="D54" s="3">
        <v>43301</v>
      </c>
      <c r="E54" t="s">
        <v>5</v>
      </c>
    </row>
    <row r="55" spans="1:5">
      <c r="A55" t="s">
        <v>20</v>
      </c>
      <c r="B55" t="s">
        <v>8</v>
      </c>
      <c r="C55" s="2">
        <v>8663</v>
      </c>
      <c r="D55" s="3">
        <v>43301</v>
      </c>
      <c r="E55" t="s">
        <v>7</v>
      </c>
    </row>
    <row r="56" spans="1:5">
      <c r="A56" t="s">
        <v>15</v>
      </c>
      <c r="B56" t="s">
        <v>4</v>
      </c>
      <c r="C56" s="2">
        <v>2789</v>
      </c>
      <c r="D56" s="3">
        <v>42573</v>
      </c>
      <c r="E56" t="s">
        <v>5</v>
      </c>
    </row>
    <row r="57" spans="1:5">
      <c r="A57" t="s">
        <v>14</v>
      </c>
      <c r="B57" t="s">
        <v>4</v>
      </c>
      <c r="C57" s="2">
        <v>4054</v>
      </c>
      <c r="D57" s="3">
        <v>42574</v>
      </c>
      <c r="E57" t="s">
        <v>10</v>
      </c>
    </row>
    <row r="58" spans="1:5">
      <c r="A58" t="s">
        <v>15</v>
      </c>
      <c r="B58" t="s">
        <v>4</v>
      </c>
      <c r="C58" s="2">
        <v>2262</v>
      </c>
      <c r="D58" s="3">
        <v>42576</v>
      </c>
      <c r="E58" t="s">
        <v>9</v>
      </c>
    </row>
    <row r="59" spans="1:5">
      <c r="A59" t="s">
        <v>15</v>
      </c>
      <c r="B59" t="s">
        <v>4</v>
      </c>
      <c r="C59" s="2">
        <v>5600</v>
      </c>
      <c r="D59" s="3">
        <v>42579</v>
      </c>
      <c r="E59" t="s">
        <v>11</v>
      </c>
    </row>
    <row r="60" spans="1:5">
      <c r="A60" t="s">
        <v>15</v>
      </c>
      <c r="B60" t="s">
        <v>4</v>
      </c>
      <c r="C60" s="2">
        <v>5787</v>
      </c>
      <c r="D60" s="3">
        <v>42518</v>
      </c>
      <c r="E60" t="s">
        <v>6</v>
      </c>
    </row>
    <row r="61" spans="1:5">
      <c r="A61" t="s">
        <v>16</v>
      </c>
      <c r="B61" t="s">
        <v>8</v>
      </c>
      <c r="C61" s="2">
        <v>6295</v>
      </c>
      <c r="D61" s="3">
        <v>42518</v>
      </c>
      <c r="E61" t="s">
        <v>7</v>
      </c>
    </row>
    <row r="62" spans="1:5">
      <c r="A62" t="s">
        <v>15</v>
      </c>
      <c r="B62" t="s">
        <v>4</v>
      </c>
      <c r="C62" s="2">
        <v>474</v>
      </c>
      <c r="D62" s="3">
        <v>43248</v>
      </c>
      <c r="E62" t="s">
        <v>7</v>
      </c>
    </row>
    <row r="63" spans="1:5">
      <c r="A63" t="s">
        <v>19</v>
      </c>
      <c r="B63" t="s">
        <v>4</v>
      </c>
      <c r="C63" s="2">
        <v>4325</v>
      </c>
      <c r="D63" s="3">
        <v>43249</v>
      </c>
      <c r="E63" t="s">
        <v>10</v>
      </c>
    </row>
    <row r="64" spans="1:5">
      <c r="A64" t="s">
        <v>19</v>
      </c>
      <c r="B64" t="s">
        <v>4</v>
      </c>
      <c r="C64" s="2">
        <v>592</v>
      </c>
      <c r="D64" s="3">
        <v>43250</v>
      </c>
      <c r="E64" t="s">
        <v>7</v>
      </c>
    </row>
    <row r="65" spans="1:5">
      <c r="A65" t="s">
        <v>15</v>
      </c>
      <c r="B65" t="s">
        <v>4</v>
      </c>
      <c r="C65" s="2">
        <v>4330</v>
      </c>
      <c r="D65" s="3">
        <v>43251</v>
      </c>
      <c r="E65" t="s">
        <v>5</v>
      </c>
    </row>
    <row r="66" spans="1:5">
      <c r="A66" t="s">
        <v>17</v>
      </c>
      <c r="B66" t="s">
        <v>4</v>
      </c>
      <c r="C66" s="2">
        <v>9405</v>
      </c>
      <c r="D66" s="3">
        <v>43252</v>
      </c>
      <c r="E66" t="s">
        <v>6</v>
      </c>
    </row>
    <row r="67" spans="1:5">
      <c r="A67" t="s">
        <v>15</v>
      </c>
      <c r="B67" t="s">
        <v>4</v>
      </c>
      <c r="C67" s="2">
        <v>7671</v>
      </c>
      <c r="D67" s="3">
        <v>43253</v>
      </c>
      <c r="E67" t="s">
        <v>9</v>
      </c>
    </row>
    <row r="68" spans="1:5">
      <c r="A68" t="s">
        <v>14</v>
      </c>
      <c r="B68" t="s">
        <v>4</v>
      </c>
      <c r="C68" s="2">
        <v>5791</v>
      </c>
      <c r="D68" s="3">
        <v>43254</v>
      </c>
      <c r="E68" t="s">
        <v>7</v>
      </c>
    </row>
    <row r="69" spans="1:5">
      <c r="A69" t="s">
        <v>15</v>
      </c>
      <c r="B69" t="s">
        <v>4</v>
      </c>
      <c r="C69" s="2">
        <v>6007</v>
      </c>
      <c r="D69" s="3">
        <v>43255</v>
      </c>
      <c r="E69" t="s">
        <v>7</v>
      </c>
    </row>
    <row r="70" spans="1:5">
      <c r="A70" t="s">
        <v>17</v>
      </c>
      <c r="B70" t="s">
        <v>4</v>
      </c>
      <c r="C70" s="2">
        <v>5030</v>
      </c>
      <c r="D70" s="3">
        <v>43256</v>
      </c>
      <c r="E70" t="s">
        <v>10</v>
      </c>
    </row>
    <row r="71" spans="1:5">
      <c r="A71" t="s">
        <v>15</v>
      </c>
      <c r="B71" t="s">
        <v>4</v>
      </c>
      <c r="C71" s="2">
        <v>6763</v>
      </c>
      <c r="D71" s="3">
        <v>43257</v>
      </c>
      <c r="E71" t="s">
        <v>9</v>
      </c>
    </row>
    <row r="72" spans="1:5">
      <c r="A72" t="s">
        <v>14</v>
      </c>
      <c r="B72" t="s">
        <v>4</v>
      </c>
      <c r="C72" s="2">
        <v>4248</v>
      </c>
      <c r="D72" s="3">
        <v>43258</v>
      </c>
      <c r="E72" t="s">
        <v>10</v>
      </c>
    </row>
    <row r="73" spans="1:5">
      <c r="A73" t="s">
        <v>16</v>
      </c>
      <c r="B73" t="s">
        <v>8</v>
      </c>
      <c r="C73" s="2">
        <v>9543</v>
      </c>
      <c r="D73" s="3">
        <v>43259</v>
      </c>
      <c r="E73" t="s">
        <v>5</v>
      </c>
    </row>
    <row r="74" spans="1:5">
      <c r="A74" t="s">
        <v>15</v>
      </c>
      <c r="B74" t="s">
        <v>4</v>
      </c>
      <c r="C74" s="2">
        <v>2054</v>
      </c>
      <c r="D74" s="3">
        <v>43260</v>
      </c>
      <c r="E74" t="s">
        <v>5</v>
      </c>
    </row>
    <row r="75" spans="1:5">
      <c r="A75" t="s">
        <v>15</v>
      </c>
      <c r="B75" t="s">
        <v>4</v>
      </c>
      <c r="C75" s="2">
        <v>7094</v>
      </c>
      <c r="D75" s="3">
        <v>43261</v>
      </c>
      <c r="E75" t="s">
        <v>6</v>
      </c>
    </row>
    <row r="76" spans="1:5">
      <c r="A76" t="s">
        <v>16</v>
      </c>
      <c r="B76" t="s">
        <v>8</v>
      </c>
      <c r="C76" s="2">
        <v>6087</v>
      </c>
      <c r="D76" s="3">
        <v>43262</v>
      </c>
      <c r="E76" t="s">
        <v>7</v>
      </c>
    </row>
    <row r="77" spans="1:5">
      <c r="A77" t="s">
        <v>15</v>
      </c>
      <c r="B77" t="s">
        <v>4</v>
      </c>
      <c r="C77" s="2">
        <v>4264</v>
      </c>
      <c r="D77" s="3">
        <v>43263</v>
      </c>
      <c r="E77" t="s">
        <v>5</v>
      </c>
    </row>
    <row r="78" spans="1:5">
      <c r="A78" t="s">
        <v>15</v>
      </c>
      <c r="B78" t="s">
        <v>4</v>
      </c>
      <c r="C78" s="2">
        <v>9333</v>
      </c>
      <c r="D78" s="3">
        <v>43264</v>
      </c>
      <c r="E78" t="s">
        <v>9</v>
      </c>
    </row>
    <row r="79" spans="1:5">
      <c r="A79" t="s">
        <v>20</v>
      </c>
      <c r="B79" t="s">
        <v>8</v>
      </c>
      <c r="C79" s="2">
        <v>8775</v>
      </c>
      <c r="D79" s="3">
        <v>43265</v>
      </c>
      <c r="E79" t="s">
        <v>6</v>
      </c>
    </row>
    <row r="80" spans="1:5">
      <c r="A80" t="s">
        <v>18</v>
      </c>
      <c r="B80" t="s">
        <v>8</v>
      </c>
      <c r="C80" s="2">
        <v>2011</v>
      </c>
      <c r="D80" s="3">
        <v>43266</v>
      </c>
      <c r="E80" t="s">
        <v>5</v>
      </c>
    </row>
    <row r="81" spans="1:5">
      <c r="A81" t="s">
        <v>16</v>
      </c>
      <c r="B81" t="s">
        <v>8</v>
      </c>
      <c r="C81" s="2">
        <v>5632</v>
      </c>
      <c r="D81" s="3">
        <v>43267</v>
      </c>
      <c r="E81" t="s">
        <v>10</v>
      </c>
    </row>
    <row r="82" spans="1:5">
      <c r="A82" t="s">
        <v>14</v>
      </c>
      <c r="B82" t="s">
        <v>4</v>
      </c>
      <c r="C82" s="2">
        <v>4904</v>
      </c>
      <c r="D82" s="3">
        <v>43268</v>
      </c>
      <c r="E82" t="s">
        <v>12</v>
      </c>
    </row>
    <row r="83" spans="1:5">
      <c r="A83" t="s">
        <v>19</v>
      </c>
      <c r="B83" t="s">
        <v>4</v>
      </c>
      <c r="C83" s="2">
        <v>1002</v>
      </c>
      <c r="D83" s="3">
        <v>43269</v>
      </c>
      <c r="E83" t="s">
        <v>9</v>
      </c>
    </row>
    <row r="84" spans="1:5">
      <c r="A84" t="s">
        <v>19</v>
      </c>
      <c r="B84" t="s">
        <v>4</v>
      </c>
      <c r="C84" s="2">
        <v>8141</v>
      </c>
      <c r="D84" s="3">
        <v>43270</v>
      </c>
      <c r="E84" t="s">
        <v>7</v>
      </c>
    </row>
    <row r="85" spans="1:5">
      <c r="C85" s="2"/>
      <c r="D85" s="3"/>
    </row>
    <row r="86" spans="1:5">
      <c r="C86" s="2"/>
    </row>
    <row r="87" spans="1:5">
      <c r="C87" s="2"/>
    </row>
    <row r="88" spans="1:5">
      <c r="C88" s="2"/>
    </row>
    <row r="89" spans="1:5">
      <c r="C89" s="2"/>
    </row>
    <row r="90" spans="1:5">
      <c r="C90" s="2"/>
    </row>
    <row r="91" spans="1:5">
      <c r="C91" s="2"/>
    </row>
    <row r="92" spans="1:5">
      <c r="C92" s="2"/>
    </row>
    <row r="93" spans="1:5">
      <c r="C93" s="2"/>
    </row>
    <row r="94" spans="1:5">
      <c r="C94" s="2"/>
    </row>
    <row r="95" spans="1:5">
      <c r="C95" s="2"/>
    </row>
    <row r="96" spans="1:5">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CD95-36C0-4F01-8F21-6F9F20DA9485}">
  <dimension ref="A3:D12"/>
  <sheetViews>
    <sheetView workbookViewId="0">
      <selection activeCell="K20" sqref="K20"/>
    </sheetView>
  </sheetViews>
  <sheetFormatPr defaultRowHeight="14.4"/>
  <cols>
    <col min="1" max="1" width="14.44140625" bestFit="1" customWidth="1"/>
    <col min="2" max="2" width="15.5546875" bestFit="1" customWidth="1"/>
    <col min="3" max="3" width="10.21875" bestFit="1" customWidth="1"/>
    <col min="4" max="4" width="10.77734375" bestFit="1" customWidth="1"/>
  </cols>
  <sheetData>
    <row r="3" spans="1:4">
      <c r="A3" s="4" t="s">
        <v>24</v>
      </c>
      <c r="B3" s="4" t="s">
        <v>23</v>
      </c>
    </row>
    <row r="4" spans="1:4">
      <c r="A4" s="4" t="s">
        <v>21</v>
      </c>
      <c r="B4" t="s">
        <v>4</v>
      </c>
      <c r="C4" t="s">
        <v>8</v>
      </c>
      <c r="D4" t="s">
        <v>22</v>
      </c>
    </row>
    <row r="5" spans="1:4">
      <c r="A5" s="5" t="s">
        <v>12</v>
      </c>
      <c r="B5" s="2">
        <v>32836</v>
      </c>
      <c r="C5" s="2">
        <v>7602</v>
      </c>
      <c r="D5" s="2">
        <v>40438</v>
      </c>
    </row>
    <row r="6" spans="1:4">
      <c r="A6" s="5" t="s">
        <v>5</v>
      </c>
      <c r="B6" s="2">
        <v>26353</v>
      </c>
      <c r="C6" s="2">
        <v>21576</v>
      </c>
      <c r="D6" s="2">
        <v>47929</v>
      </c>
    </row>
    <row r="7" spans="1:4">
      <c r="A7" s="5" t="s">
        <v>9</v>
      </c>
      <c r="B7" s="2">
        <v>45904</v>
      </c>
      <c r="C7" s="2">
        <v>16015</v>
      </c>
      <c r="D7" s="2">
        <v>61919</v>
      </c>
    </row>
    <row r="8" spans="1:4">
      <c r="A8" s="5" t="s">
        <v>6</v>
      </c>
      <c r="B8" s="2">
        <v>51522</v>
      </c>
      <c r="C8" s="2">
        <v>22182</v>
      </c>
      <c r="D8" s="2">
        <v>73704</v>
      </c>
    </row>
    <row r="9" spans="1:4">
      <c r="A9" s="5" t="s">
        <v>11</v>
      </c>
      <c r="B9" s="2">
        <v>10754</v>
      </c>
      <c r="C9" s="2">
        <v>4778</v>
      </c>
      <c r="D9" s="2">
        <v>15532</v>
      </c>
    </row>
    <row r="10" spans="1:4">
      <c r="A10" s="5" t="s">
        <v>10</v>
      </c>
      <c r="B10" s="2">
        <v>40186</v>
      </c>
      <c r="C10" s="2">
        <v>5632</v>
      </c>
      <c r="D10" s="2">
        <v>45818</v>
      </c>
    </row>
    <row r="11" spans="1:4">
      <c r="A11" s="5" t="s">
        <v>7</v>
      </c>
      <c r="B11" s="2">
        <v>79175</v>
      </c>
      <c r="C11" s="2">
        <v>30149</v>
      </c>
      <c r="D11" s="2">
        <v>109324</v>
      </c>
    </row>
    <row r="12" spans="1:4">
      <c r="A12" s="5" t="s">
        <v>22</v>
      </c>
      <c r="B12" s="2">
        <v>286730</v>
      </c>
      <c r="C12" s="2">
        <v>107934</v>
      </c>
      <c r="D12" s="2">
        <v>394664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9388-1972-43CF-ABDE-CE2778B6D6E5}">
  <dimension ref="A3:B11"/>
  <sheetViews>
    <sheetView workbookViewId="0">
      <selection activeCell="B7" sqref="B7"/>
    </sheetView>
  </sheetViews>
  <sheetFormatPr defaultRowHeight="14.4"/>
  <cols>
    <col min="1" max="1" width="12.5546875" bestFit="1" customWidth="1"/>
    <col min="2" max="2" width="14.44140625" bestFit="1" customWidth="1"/>
  </cols>
  <sheetData>
    <row r="3" spans="1:2">
      <c r="A3" s="4" t="s">
        <v>21</v>
      </c>
      <c r="B3" t="s">
        <v>24</v>
      </c>
    </row>
    <row r="4" spans="1:2">
      <c r="A4" s="5" t="s">
        <v>18</v>
      </c>
      <c r="B4" s="2">
        <v>16895</v>
      </c>
    </row>
    <row r="5" spans="1:2">
      <c r="A5" s="5" t="s">
        <v>19</v>
      </c>
      <c r="B5" s="2">
        <v>36329</v>
      </c>
    </row>
    <row r="6" spans="1:2">
      <c r="A6" s="5" t="s">
        <v>17</v>
      </c>
      <c r="B6" s="2">
        <v>37481</v>
      </c>
    </row>
    <row r="7" spans="1:2">
      <c r="A7" s="5" t="s">
        <v>20</v>
      </c>
      <c r="B7" s="2">
        <v>43800</v>
      </c>
    </row>
    <row r="8" spans="1:2">
      <c r="A8" s="5" t="s">
        <v>16</v>
      </c>
      <c r="B8" s="2">
        <v>47239</v>
      </c>
    </row>
    <row r="9" spans="1:2">
      <c r="A9" s="5" t="s">
        <v>14</v>
      </c>
      <c r="B9" s="2">
        <v>83853</v>
      </c>
    </row>
    <row r="10" spans="1:2">
      <c r="A10" s="5" t="s">
        <v>15</v>
      </c>
      <c r="B10" s="2">
        <v>129067</v>
      </c>
    </row>
    <row r="11" spans="1:2">
      <c r="A11" s="5" t="s">
        <v>22</v>
      </c>
      <c r="B11" s="2">
        <v>394664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2E6C-ACA5-44B8-8855-42DA48131AB0}">
  <dimension ref="A3:B7"/>
  <sheetViews>
    <sheetView zoomScaleNormal="100" workbookViewId="0">
      <selection activeCell="D23" sqref="D23"/>
    </sheetView>
  </sheetViews>
  <sheetFormatPr defaultRowHeight="14.4"/>
  <cols>
    <col min="1" max="1" width="12.5546875" bestFit="1" customWidth="1"/>
    <col min="2" max="2" width="14.44140625" bestFit="1" customWidth="1"/>
  </cols>
  <sheetData>
    <row r="3" spans="1:2">
      <c r="A3" s="4" t="s">
        <v>21</v>
      </c>
      <c r="B3" t="s">
        <v>24</v>
      </c>
    </row>
    <row r="4" spans="1:2">
      <c r="A4" s="5" t="s">
        <v>25</v>
      </c>
      <c r="B4" s="2">
        <v>67431</v>
      </c>
    </row>
    <row r="5" spans="1:2">
      <c r="A5" s="5" t="s">
        <v>26</v>
      </c>
      <c r="B5" s="2">
        <v>196394</v>
      </c>
    </row>
    <row r="6" spans="1:2">
      <c r="A6" s="5" t="s">
        <v>27</v>
      </c>
      <c r="B6" s="2">
        <v>130839</v>
      </c>
    </row>
    <row r="7" spans="1:2">
      <c r="A7" s="5" t="s">
        <v>22</v>
      </c>
      <c r="B7" s="2">
        <v>394664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2DC0-2E9B-4484-AA15-509E726216BF}">
  <dimension ref="A3:B6"/>
  <sheetViews>
    <sheetView workbookViewId="0">
      <selection activeCell="A3" sqref="A3"/>
    </sheetView>
  </sheetViews>
  <sheetFormatPr defaultRowHeight="14.4"/>
  <cols>
    <col min="1" max="1" width="12.5546875" bestFit="1" customWidth="1"/>
    <col min="2" max="2" width="14.44140625" bestFit="1" customWidth="1"/>
  </cols>
  <sheetData>
    <row r="3" spans="1:2">
      <c r="A3" s="4" t="s">
        <v>21</v>
      </c>
      <c r="B3" t="s">
        <v>24</v>
      </c>
    </row>
    <row r="4" spans="1:2">
      <c r="A4" s="5" t="s">
        <v>4</v>
      </c>
      <c r="B4" s="2">
        <v>286730</v>
      </c>
    </row>
    <row r="5" spans="1:2">
      <c r="A5" s="5" t="s">
        <v>8</v>
      </c>
      <c r="B5" s="2">
        <v>107934</v>
      </c>
    </row>
    <row r="6" spans="1:2">
      <c r="A6" s="5" t="s">
        <v>22</v>
      </c>
      <c r="B6" s="2">
        <v>394664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Sales by country &amp; category </vt:lpstr>
      <vt:lpstr>Sales by product</vt:lpstr>
      <vt:lpstr>Sales by month</vt:lpstr>
      <vt:lpstr>Sale by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Asitha</dc:creator>
  <cp:lastModifiedBy>Priya krishna</cp:lastModifiedBy>
  <dcterms:created xsi:type="dcterms:W3CDTF">2021-06-25T12:03:56Z</dcterms:created>
  <dcterms:modified xsi:type="dcterms:W3CDTF">2025-11-08T07:46:42Z</dcterms:modified>
</cp:coreProperties>
</file>